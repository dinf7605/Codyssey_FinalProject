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작성가이드" sheetId="1" state="visible" r:id="rId3"/>
    <sheet name="기능명세서" sheetId="2" state="visible" r:id="rId4"/>
    <sheet name="AI기능명세" sheetId="3" state="visible" r:id="rId5"/>
    <sheet name="예시_기능명세서" sheetId="4" state="visible" r:id="rId6"/>
    <sheet name="예시_AI기능명세" sheetId="5" state="visible" r:id="rId7"/>
  </sheets>
  <definedNames>
    <definedName function="false" hidden="true" localSheetId="1" name="_xlnm._FilterDatabase" vbProcedure="false">기능명세서!$A$2:$N$200</definedName>
    <definedName function="false" hidden="true" localSheetId="3" name="_xlnm._FilterDatabase" vbProcedure="false">예시_기능명세서!$A$2:$N$35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<sst xmlns="http://schemas.openxmlformats.org/spreadsheetml/2006/main" count="1832" uniqueCount="1300">
  <si>
    <t xml:space="preserve">기능 요구 명세서 — 작성 가이드</t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</si>
  <si>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기능명세서</t>
    </r>
    <r>
      <rPr>
        <sz val="9"/>
        <color theme="1"/>
        <rFont val="Arial"/>
        <family val="0"/>
        <charset val="1"/>
      </rPr>
      <t xml:space="preserve">' </t>
    </r>
    <r>
      <rPr>
        <sz val="9"/>
        <color theme="1"/>
        <rFont val="Noto Sans CJK SC"/>
        <family val="2"/>
      </rPr>
      <t xml:space="preserve">시트에 기능을 한 줄씩 채워 넣으세요</t>
    </r>
    <r>
      <rPr>
        <sz val="9"/>
        <color theme="1"/>
        <rFont val="Arial"/>
        <family val="0"/>
        <charset val="1"/>
      </rPr>
      <t xml:space="preserve">. ★ </t>
    </r>
    <r>
      <rPr>
        <sz val="9"/>
        <color theme="1"/>
        <rFont val="Noto Sans CJK SC"/>
        <family val="2"/>
      </rPr>
      <t xml:space="preserve">표시 열은 </t>
    </r>
    <r>
      <rPr>
        <sz val="9"/>
        <color theme="1"/>
        <rFont val="Arial"/>
        <family val="0"/>
        <charset val="1"/>
      </rPr>
      <t xml:space="preserve">AI </t>
    </r>
    <r>
      <rPr>
        <sz val="9"/>
        <color theme="1"/>
        <rFont val="Noto Sans CJK SC"/>
        <family val="2"/>
      </rPr>
      <t xml:space="preserve">서비스 과제에 맞춰 추가한 열입니다</t>
    </r>
    <r>
      <rPr>
        <sz val="9"/>
        <color theme="1"/>
        <rFont val="Arial"/>
        <family val="0"/>
        <charset val="1"/>
      </rPr>
      <t xml:space="preserve">.</t>
    </r>
  </si>
  <si>
    <r>
      <rPr>
        <b val="true"/>
        <sz val="11"/>
        <color rgb="FF1F3864"/>
        <rFont val="Arial"/>
        <family val="0"/>
        <charset val="1"/>
      </rPr>
      <t xml:space="preserve">1. </t>
    </r>
    <r>
      <rPr>
        <b val="true"/>
        <sz val="11"/>
        <color rgb="FF1F3864"/>
        <rFont val="Noto Sans CJK SC"/>
        <family val="2"/>
      </rPr>
      <t xml:space="preserve">열별 작성 요령</t>
    </r>
  </si>
  <si>
    <t xml:space="preserve">열</t>
  </si>
  <si>
    <t xml:space="preserve">무엇을 쓰나</t>
  </si>
  <si>
    <t xml:space="preserve">작성 예시</t>
  </si>
  <si>
    <t xml:space="preserve">자주 하는 실수</t>
  </si>
  <si>
    <t xml:space="preserve">필수</t>
  </si>
  <si>
    <t xml:space="preserve">ID ★</t>
  </si>
  <si>
    <t xml:space="preserve">도메인+번호. FR-{도메인}-{2자리}</t>
  </si>
  <si>
    <t xml:space="preserve">FR-CHAT-01</t>
  </si>
  <si>
    <r>
      <rPr>
        <sz val="10"/>
        <color theme="1"/>
        <rFont val="Arial"/>
        <family val="0"/>
        <charset val="1"/>
      </rPr>
      <t xml:space="preserve">ID</t>
    </r>
    <r>
      <rPr>
        <sz val="10"/>
        <color theme="1"/>
        <rFont val="Noto Sans CJK SC"/>
        <family val="2"/>
      </rPr>
      <t xml:space="preserve">를 안 붙임 → 이슈</t>
    </r>
    <r>
      <rPr>
        <sz val="10"/>
        <color theme="1"/>
        <rFont val="Arial"/>
        <family val="0"/>
        <charset val="1"/>
      </rPr>
      <t xml:space="preserve">·</t>
    </r>
    <r>
      <rPr>
        <sz val="10"/>
        <color theme="1"/>
        <rFont val="Noto Sans CJK SC"/>
        <family val="2"/>
      </rPr>
      <t xml:space="preserve">테스트와 연결이 끊김</t>
    </r>
  </si>
  <si>
    <t xml:space="preserve">페이지</t>
  </si>
  <si>
    <t xml:space="preserve">이 기능이 나타나는 화면 단위</t>
  </si>
  <si>
    <t xml:space="preserve">질의응답 페이지</t>
  </si>
  <si>
    <t xml:space="preserve">화면이 아닌 기능 묶음을 적음</t>
  </si>
  <si>
    <t xml:space="preserve">대분류</t>
  </si>
  <si>
    <t xml:space="preserve">화면 안의 영역 또는 기능군</t>
  </si>
  <si>
    <t xml:space="preserve">채팅</t>
  </si>
  <si>
    <t xml:space="preserve">페이지와 같은 말을 반복</t>
  </si>
  <si>
    <t xml:space="preserve">소분류</t>
  </si>
  <si>
    <t xml:space="preserve">대분류 안의 세부 항목</t>
  </si>
  <si>
    <t xml:space="preserve">질문 입력</t>
  </si>
  <si>
    <t xml:space="preserve">대분류와 구분이 안 되게 씀</t>
  </si>
  <si>
    <t xml:space="preserve">기능 정의</t>
  </si>
  <si>
    <t xml:space="preserve">사용자 관점에서 '무엇을 할 수 있는가' 한 문장</t>
  </si>
  <si>
    <t xml:space="preserve">사용자가 업로드한 자료를 근거로 질문에 답변받는다</t>
  </si>
  <si>
    <t xml:space="preserve">시스템 관점으로 씀 / 두 기능을 한 문장에 담음</t>
  </si>
  <si>
    <t xml:space="preserve">기능</t>
  </si>
  <si>
    <t xml:space="preserve">그 정의를 이루는 동작 하나</t>
  </si>
  <si>
    <t xml:space="preserve">질문 입력 후 전송 시 답변 스트리밍 출력</t>
  </si>
  <si>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그리고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가 들어감 → 두 줄로 나눌 신호</t>
    </r>
  </si>
  <si>
    <t xml:space="preserve">세부 기능</t>
  </si>
  <si>
    <t xml:space="preserve">화면에서 실제로 보이고 동작하는 조건·규칙</t>
  </si>
  <si>
    <r>
      <rPr>
        <sz val="10"/>
        <color theme="1"/>
        <rFont val="Arial"/>
        <family val="0"/>
        <charset val="1"/>
      </rPr>
      <t xml:space="preserve">1~500</t>
    </r>
    <r>
      <rPr>
        <sz val="10"/>
        <color theme="1"/>
        <rFont val="Noto Sans CJK SC"/>
        <family val="2"/>
      </rPr>
      <t xml:space="preserve">자 제한</t>
    </r>
    <r>
      <rPr>
        <sz val="10"/>
        <color theme="1"/>
        <rFont val="Arial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초과 시 전송 버튼 비활성화</t>
    </r>
  </si>
  <si>
    <t xml:space="preserve">비워둠 → 개발 단계에서 매번 되물음</t>
  </si>
  <si>
    <t xml:space="preserve">필요한 데이터</t>
  </si>
  <si>
    <t xml:space="preserve">이 기능이 읽고 쓰는 데이터 항목</t>
  </si>
  <si>
    <t xml:space="preserve">회원 ID, 질문 텍스트, 문서 청크, 유사도</t>
  </si>
  <si>
    <t xml:space="preserve">테이블명만 적고 컬럼을 안 적음</t>
  </si>
  <si>
    <r>
      <rPr>
        <b val="true"/>
        <sz val="10"/>
        <color theme="1"/>
        <rFont val="Arial"/>
        <family val="0"/>
        <charset val="1"/>
      </rPr>
      <t xml:space="preserve">AI </t>
    </r>
    <r>
      <rPr>
        <b val="true"/>
        <sz val="10"/>
        <color theme="1"/>
        <rFont val="Noto Sans CJK SC"/>
        <family val="2"/>
      </rPr>
      <t xml:space="preserve">활용 ★</t>
    </r>
  </si>
  <si>
    <t xml:space="preserve">이 행이 어떤 AI 기술 요소에 해당하는지</t>
  </si>
  <si>
    <t xml:space="preserve">RAG</t>
  </si>
  <si>
    <r>
      <rPr>
        <sz val="10"/>
        <color theme="1"/>
        <rFont val="Arial"/>
        <family val="0"/>
        <charset val="1"/>
      </rPr>
      <t xml:space="preserve">AI </t>
    </r>
    <r>
      <rPr>
        <sz val="10"/>
        <color theme="1"/>
        <rFont val="Noto Sans CJK SC"/>
        <family val="2"/>
      </rPr>
      <t xml:space="preserve">행을 표시 안 함 → 요건 충족을 증명하기 어려움</t>
    </r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</si>
  <si>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행만</t>
    </r>
  </si>
  <si>
    <t xml:space="preserve">우선순위 ★</t>
  </si>
  <si>
    <t xml:space="preserve">Must / Should / Could / Won't</t>
  </si>
  <si>
    <t xml:space="preserve">Must</t>
  </si>
  <si>
    <t xml:space="preserve">전부 Must로 채움 → 일정 관리가 안 된 것으로 보임</t>
  </si>
  <si>
    <t xml:space="preserve">세부 사항</t>
  </si>
  <si>
    <t xml:space="preserve">예외·실패 시 동작, 정렬 기준, 표시 규칙</t>
  </si>
  <si>
    <t xml:space="preserve">유사도 0.72 미만이면 답변 생성하지 않고 '자료 없음' 안내</t>
  </si>
  <si>
    <t xml:space="preserve">정상 흐름만 적고 예외를 안 적음 → 가장 많이 감점</t>
  </si>
  <si>
    <t xml:space="preserve">기타 의견</t>
  </si>
  <si>
    <t xml:space="preserve">팀 내 미확정 사항, 논의 필요 항목</t>
  </si>
  <si>
    <t xml:space="preserve">출처를 페이지 단위로 할지 문단 단위로 할지 논의 필요</t>
  </si>
  <si>
    <t xml:space="preserve">빈칸으로 두기보다 고민 흔적을 남기는 편이 유리</t>
  </si>
  <si>
    <t xml:space="preserve">선택</t>
  </si>
  <si>
    <t xml:space="preserve">권한</t>
  </si>
  <si>
    <t xml:space="preserve">이 기능을 쓸 수 있는 대상</t>
  </si>
  <si>
    <t xml:space="preserve">회원 / 비회원 / 관리자 / 작성자 본인</t>
  </si>
  <si>
    <t xml:space="preserve">권한 구분을 안 해 타인 데이터 접근 취약점 발생</t>
  </si>
  <si>
    <t xml:space="preserve">비고</t>
  </si>
  <si>
    <t xml:space="preserve">구현 난이도, 참고 링크, 담당자</t>
  </si>
  <si>
    <t xml:space="preserve">담당: 김철수 / 3주차</t>
  </si>
  <si>
    <r>
      <rPr>
        <b val="true"/>
        <sz val="11"/>
        <color rgb="FF1F3864"/>
        <rFont val="Arial"/>
        <family val="0"/>
        <charset val="1"/>
      </rPr>
      <t xml:space="preserve">2. </t>
    </r>
    <r>
      <rPr>
        <b val="true"/>
        <sz val="11"/>
        <color rgb="FF1F3864"/>
        <rFont val="Noto Sans CJK SC"/>
        <family val="2"/>
      </rPr>
      <t xml:space="preserve">작성 순서</t>
    </r>
  </si>
  <si>
    <t xml:space="preserve">단계</t>
  </si>
  <si>
    <t xml:space="preserve">할 일</t>
  </si>
  <si>
    <t xml:space="preserve">설명</t>
  </si>
  <si>
    <r>
      <rPr>
        <b val="true"/>
        <sz val="10"/>
        <color theme="1"/>
        <rFont val="Arial"/>
        <family val="0"/>
        <charset val="1"/>
      </rPr>
      <t xml:space="preserve">1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</si>
  <si>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화면 목록을 먼저 확정한다</t>
  </si>
  <si>
    <t xml:space="preserve">메인 / 로그인 / 회원가입 / 마이페이지 / 핵심기능 페이지 / 관리자. 화면이 정해져야 '페이지' 열이 채워집니다.</t>
  </si>
  <si>
    <r>
      <rPr>
        <b val="true"/>
        <sz val="10"/>
        <color theme="1"/>
        <rFont val="Arial"/>
        <family val="0"/>
        <charset val="1"/>
      </rPr>
      <t xml:space="preserve">2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</si>
  <si>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화면마다 대분류·소분류로 영역을 쪼갠다</t>
  </si>
  <si>
    <t xml:space="preserve">머리글 / 본문 / 바닥글, 또는 게시글 / 댓글 처럼 눈에 보이는 덩어리 단위로.</t>
  </si>
  <si>
    <r>
      <rPr>
        <b val="true"/>
        <sz val="10"/>
        <color theme="1"/>
        <rFont val="Arial"/>
        <family val="0"/>
        <charset val="1"/>
      </rPr>
      <t xml:space="preserve">3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</si>
  <si>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소분류마다 기능을 한 줄씩 적는다</t>
  </si>
  <si>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그리고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가 들어가면 두 줄로 나눕니다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이 단계에서 행이 가장 많이 늘어납니다</t>
    </r>
    <r>
      <rPr>
        <sz val="10"/>
        <color theme="1"/>
        <rFont val="Arial"/>
        <family val="0"/>
        <charset val="1"/>
      </rPr>
      <t xml:space="preserve">.</t>
    </r>
  </si>
  <si>
    <r>
      <rPr>
        <b val="true"/>
        <sz val="10"/>
        <color theme="1"/>
        <rFont val="Arial"/>
        <family val="0"/>
        <charset val="1"/>
      </rPr>
      <t xml:space="preserve">4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</si>
  <si>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세부 기능·필요한 데이터를 채운다</t>
  </si>
  <si>
    <t xml:space="preserve">필요한 데이터를 적다 보면 ERD가 자연스럽게 도출됩니다. 여기서 빠진 컬럼이 나중에 다 나옵니다.</t>
  </si>
  <si>
    <r>
      <rPr>
        <b val="true"/>
        <sz val="10"/>
        <color theme="1"/>
        <rFont val="Arial"/>
        <family val="0"/>
        <charset val="1"/>
      </rPr>
      <t xml:space="preserve">5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</si>
  <si>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세부 사항(예외)과 권한을 채운다</t>
  </si>
  <si>
    <t xml:space="preserve">가장 귀찮지만 가장 중요한 단계. 여기를 비우면 실사용자 테스트에서 그대로 터집니다.</t>
  </si>
  <si>
    <r>
      <rPr>
        <b val="true"/>
        <sz val="10"/>
        <color theme="1"/>
        <rFont val="Arial"/>
        <family val="0"/>
        <charset val="1"/>
      </rPr>
      <t xml:space="preserve">6</t>
    </r>
    <r>
      <rPr>
        <b val="true"/>
        <sz val="10"/>
        <color theme="1"/>
        <rFont val="Noto Sans CJK SC"/>
        <family val="2"/>
      </rPr>
      <t xml:space="preserve">단계</t>
    </r>
  </si>
  <si>
    <t xml:space="preserve">우선순위를 매기고 Won't를 결정한다</t>
  </si>
  <si>
    <t xml:space="preserve">전부 Must면 일정 관리를 안 한 것으로 읽힙니다. 4주 기준 Must는 전체의 60% 이하가 현실적.</t>
  </si>
  <si>
    <r>
      <rPr>
        <b val="true"/>
        <sz val="11"/>
        <color rgb="FF1F3864"/>
        <rFont val="Arial"/>
        <family val="0"/>
        <charset val="1"/>
      </rPr>
      <t xml:space="preserve">3. AI </t>
    </r>
    <r>
      <rPr>
        <b val="true"/>
        <sz val="11"/>
        <color rgb="FF1F3864"/>
        <rFont val="Noto Sans CJK SC"/>
        <family val="2"/>
      </rPr>
      <t xml:space="preserve">서비스 과제에서 추가로 챙길 것</t>
    </r>
  </si>
  <si>
    <r>
      <rPr>
        <b val="true"/>
        <sz val="10"/>
        <color theme="1"/>
        <rFont val="Arial"/>
        <family val="0"/>
        <charset val="1"/>
      </rPr>
      <t xml:space="preserve">▸ AI </t>
    </r>
    <r>
      <rPr>
        <b val="true"/>
        <sz val="10"/>
        <color theme="1"/>
        <rFont val="Noto Sans CJK SC"/>
        <family val="2"/>
      </rPr>
      <t xml:space="preserve">행을 표시한다</t>
    </r>
  </si>
  <si>
    <r>
      <rPr>
        <sz val="10"/>
        <color theme="1"/>
        <rFont val="Arial"/>
        <family val="0"/>
        <charset val="1"/>
      </rPr>
      <t xml:space="preserve">'AI </t>
    </r>
    <r>
      <rPr>
        <sz val="10"/>
        <color theme="1"/>
        <rFont val="Noto Sans CJK SC"/>
        <family val="2"/>
      </rPr>
      <t xml:space="preserve">활용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열에 </t>
    </r>
    <r>
      <rPr>
        <sz val="10"/>
        <color theme="1"/>
        <rFont val="Arial"/>
        <family val="0"/>
        <charset val="1"/>
      </rPr>
      <t xml:space="preserve">RAG / AI Agent / </t>
    </r>
    <r>
      <rPr>
        <sz val="10"/>
        <color theme="1"/>
        <rFont val="Noto Sans CJK SC"/>
        <family val="2"/>
      </rPr>
      <t xml:space="preserve">멀티모달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자동화 </t>
    </r>
    <r>
      <rPr>
        <sz val="10"/>
        <color theme="1"/>
        <rFont val="Arial"/>
        <family val="0"/>
        <charset val="1"/>
      </rPr>
      <t xml:space="preserve">/ Memory </t>
    </r>
    <r>
      <rPr>
        <sz val="10"/>
        <color theme="1"/>
        <rFont val="Noto Sans CJK SC"/>
        <family val="2"/>
      </rPr>
      <t xml:space="preserve">중 하나를 적습니다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이 열만 필터링하면 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필수 기술 요소 </t>
    </r>
    <r>
      <rPr>
        <sz val="10"/>
        <color theme="1"/>
        <rFont val="Arial"/>
        <family val="0"/>
        <charset val="1"/>
      </rPr>
      <t xml:space="preserve">2</t>
    </r>
    <r>
      <rPr>
        <sz val="10"/>
        <color theme="1"/>
        <rFont val="Noto Sans CJK SC"/>
        <family val="2"/>
      </rPr>
      <t xml:space="preserve">개 이상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충족 여부가 한눈에 보입니다</t>
    </r>
    <r>
      <rPr>
        <sz val="10"/>
        <color theme="1"/>
        <rFont val="Arial"/>
        <family val="0"/>
        <charset val="1"/>
      </rPr>
      <t xml:space="preserve">.</t>
    </r>
  </si>
  <si>
    <r>
      <rPr>
        <b val="true"/>
        <sz val="10"/>
        <color theme="1"/>
        <rFont val="Arial"/>
        <family val="0"/>
        <charset val="1"/>
      </rPr>
      <t xml:space="preserve">▸ AI </t>
    </r>
    <r>
      <rPr>
        <b val="true"/>
        <sz val="10"/>
        <color theme="1"/>
        <rFont val="Noto Sans CJK SC"/>
        <family val="2"/>
      </rPr>
      <t xml:space="preserve">기능의 </t>
    </r>
    <r>
      <rPr>
        <b val="true"/>
        <sz val="10"/>
        <color theme="1"/>
        <rFont val="Arial"/>
        <family val="0"/>
        <charset val="1"/>
      </rPr>
      <t xml:space="preserve">'</t>
    </r>
    <r>
      <rPr>
        <b val="true"/>
        <sz val="10"/>
        <color theme="1"/>
        <rFont val="Noto Sans CJK SC"/>
        <family val="2"/>
      </rPr>
      <t xml:space="preserve">세부 사항</t>
    </r>
    <r>
      <rPr>
        <b val="true"/>
        <sz val="10"/>
        <color theme="1"/>
        <rFont val="Arial"/>
        <family val="0"/>
        <charset val="1"/>
      </rPr>
      <t xml:space="preserve">'</t>
    </r>
    <r>
      <rPr>
        <b val="true"/>
        <sz val="10"/>
        <color theme="1"/>
        <rFont val="Noto Sans CJK SC"/>
        <family val="2"/>
      </rPr>
      <t xml:space="preserve">은 실패 동작을 적는다</t>
    </r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</si>
  <si>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는 입력이 같아도 출력이 매번 다릅니다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결과값을 규정할 수 없으니 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검색 실패 시</t>
    </r>
    <r>
      <rPr>
        <sz val="10"/>
        <color theme="1"/>
        <rFont val="Arial"/>
        <family val="0"/>
        <charset val="1"/>
      </rPr>
      <t xml:space="preserve">', '</t>
    </r>
    <r>
      <rPr>
        <sz val="10"/>
        <color theme="1"/>
        <rFont val="Noto Sans CJK SC"/>
        <family val="2"/>
      </rPr>
      <t xml:space="preserve">타임아웃 시</t>
    </r>
    <r>
      <rPr>
        <sz val="10"/>
        <color theme="1"/>
        <rFont val="Arial"/>
        <family val="0"/>
        <charset val="1"/>
      </rPr>
      <t xml:space="preserve">', '</t>
    </r>
    <r>
      <rPr>
        <sz val="10"/>
        <color theme="1"/>
        <rFont val="Noto Sans CJK SC"/>
        <family val="2"/>
      </rPr>
      <t xml:space="preserve">형식 파싱 실패 시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무엇을 하는지를 적습니다</t>
    </r>
    <r>
      <rPr>
        <sz val="10"/>
        <color theme="1"/>
        <rFont val="Arial"/>
        <family val="0"/>
        <charset val="1"/>
      </rPr>
      <t xml:space="preserve">.</t>
    </r>
  </si>
  <si>
    <t xml:space="preserve">▸ 표로 표현 안 되는 것은 'AI기능명세' 시트에</t>
  </si>
  <si>
    <r>
      <rPr>
        <sz val="10"/>
        <color theme="1"/>
        <rFont val="Arial"/>
        <family val="0"/>
        <charset val="1"/>
      </rPr>
      <t xml:space="preserve">Agent </t>
    </r>
    <r>
      <rPr>
        <sz val="10"/>
        <color theme="1"/>
        <rFont val="Noto Sans CJK SC"/>
        <family val="2"/>
      </rPr>
      <t xml:space="preserve">도구 목록</t>
    </r>
    <r>
      <rPr>
        <sz val="10"/>
        <color theme="1"/>
        <rFont val="Arial"/>
        <family val="0"/>
        <charset val="1"/>
      </rPr>
      <t xml:space="preserve">, RAG </t>
    </r>
    <r>
      <rPr>
        <sz val="10"/>
        <color theme="1"/>
        <rFont val="Noto Sans CJK SC"/>
        <family val="2"/>
      </rPr>
      <t xml:space="preserve">파라미터</t>
    </r>
    <r>
      <rPr>
        <sz val="10"/>
        <color theme="1"/>
        <rFont val="Arial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프롬프트 제약</t>
    </r>
    <r>
      <rPr>
        <sz val="10"/>
        <color theme="1"/>
        <rFont val="Arial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메모리 갱신 규칙은 한 줄짜리 행에 안 들어갑니다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세 번째 시트를 쓰세요</t>
    </r>
    <r>
      <rPr>
        <sz val="10"/>
        <color theme="1"/>
        <rFont val="Arial"/>
        <family val="0"/>
        <charset val="1"/>
      </rPr>
      <t xml:space="preserve">.</t>
    </r>
  </si>
  <si>
    <r>
      <rPr>
        <b val="true"/>
        <sz val="10"/>
        <color theme="1"/>
        <rFont val="Arial"/>
        <family val="0"/>
        <charset val="1"/>
      </rPr>
      <t xml:space="preserve">▸ AI </t>
    </r>
    <r>
      <rPr>
        <b val="true"/>
        <sz val="10"/>
        <color theme="1"/>
        <rFont val="Noto Sans CJK SC"/>
        <family val="2"/>
      </rPr>
      <t xml:space="preserve">윤리 항목을 기능으로 넣는다</t>
    </r>
  </si>
  <si>
    <r>
      <rPr>
        <sz val="10"/>
        <color theme="1"/>
        <rFont val="Arial"/>
        <family val="0"/>
        <charset val="1"/>
      </rPr>
      <t xml:space="preserve">'AI </t>
    </r>
    <r>
      <rPr>
        <sz val="10"/>
        <color theme="1"/>
        <rFont val="Noto Sans CJK SC"/>
        <family val="2"/>
      </rPr>
      <t xml:space="preserve">생성 콘텐츠 배지 표시</t>
    </r>
    <r>
      <rPr>
        <sz val="10"/>
        <color theme="1"/>
        <rFont val="Arial"/>
        <family val="0"/>
        <charset val="1"/>
      </rPr>
      <t xml:space="preserve">', '</t>
    </r>
    <r>
      <rPr>
        <sz val="10"/>
        <color theme="1"/>
        <rFont val="Noto Sans CJK SC"/>
        <family val="2"/>
      </rPr>
      <t xml:space="preserve">부정확 가능성 고지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를 각각 한 행으로 만드세요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명세서에 없으면 구현 때 반드시 빼먹습니다</t>
    </r>
    <r>
      <rPr>
        <sz val="10"/>
        <color theme="1"/>
        <rFont val="Arial"/>
        <family val="0"/>
        <charset val="1"/>
      </rPr>
      <t xml:space="preserve">.</t>
    </r>
  </si>
  <si>
    <t xml:space="preserve">▸ 피드백 수집도 기능이다</t>
  </si>
  <si>
    <t xml:space="preserve">답변별 좋아요/싫어요 버튼, 종료 설문을 행으로 넣으세요. 과제 필수 요건(실사용자 5명)의 근거가 됩니다.</t>
  </si>
  <si>
    <r>
      <rPr>
        <b val="true"/>
        <sz val="11"/>
        <color rgb="FF1F3864"/>
        <rFont val="Arial"/>
        <family val="0"/>
        <charset val="1"/>
      </rPr>
      <t xml:space="preserve">4. </t>
    </r>
    <r>
      <rPr>
        <b val="true"/>
        <sz val="11"/>
        <color rgb="FF1F3864"/>
        <rFont val="Noto Sans CJK SC"/>
        <family val="2"/>
      </rPr>
      <t xml:space="preserve">진행 현황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Noto Sans CJK SC"/>
        <family val="2"/>
      </rPr>
      <t xml:space="preserve">자동 집계</t>
    </r>
    <r>
      <rPr>
        <b val="true"/>
        <sz val="11"/>
        <color rgb="FF1F3864"/>
        <rFont val="Arial"/>
        <family val="0"/>
        <charset val="1"/>
      </rPr>
      <t xml:space="preserve">)</t>
    </r>
  </si>
  <si>
    <t xml:space="preserve">구분</t>
  </si>
  <si>
    <t xml:space="preserve">건수</t>
  </si>
  <si>
    <t xml:space="preserve">없으면 서비스가 성립하지 않는 기능</t>
  </si>
  <si>
    <t xml:space="preserve">Should</t>
  </si>
  <si>
    <t xml:space="preserve">중요하지만 없어도 동작</t>
  </si>
  <si>
    <t xml:space="preserve">Could</t>
  </si>
  <si>
    <t xml:space="preserve">여유가 되면 구현</t>
  </si>
  <si>
    <t xml:space="preserve">Won't</t>
  </si>
  <si>
    <t xml:space="preserve">이번 범위에서 제외 (지우지 말고 남겨둘 것)</t>
  </si>
  <si>
    <t xml:space="preserve">합계</t>
  </si>
  <si>
    <t xml:space="preserve">전체 기능 수</t>
  </si>
  <si>
    <r>
      <rPr>
        <b val="true"/>
        <sz val="10"/>
        <color theme="1"/>
        <rFont val="Arial"/>
        <family val="0"/>
        <charset val="1"/>
      </rPr>
      <t xml:space="preserve">AI </t>
    </r>
    <r>
      <rPr>
        <b val="true"/>
        <sz val="10"/>
        <color theme="1"/>
        <rFont val="Noto Sans CJK SC"/>
        <family val="2"/>
      </rPr>
      <t xml:space="preserve">관련 행</t>
    </r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</si>
  <si>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필수 기술 요소</t>
    </r>
    <r>
      <rPr>
        <sz val="9"/>
        <color theme="1"/>
        <rFont val="Arial"/>
        <family val="0"/>
        <charset val="1"/>
      </rPr>
      <t xml:space="preserve">' </t>
    </r>
    <r>
      <rPr>
        <sz val="9"/>
        <color theme="1"/>
        <rFont val="Noto Sans CJK SC"/>
        <family val="2"/>
      </rPr>
      <t xml:space="preserve">충족 근거</t>
    </r>
  </si>
  <si>
    <r>
      <rPr>
        <b val="true"/>
        <sz val="11"/>
        <color rgb="FF1F3864"/>
        <rFont val="Arial"/>
        <family val="0"/>
        <charset val="1"/>
      </rPr>
      <t xml:space="preserve">5. </t>
    </r>
    <r>
      <rPr>
        <b val="true"/>
        <sz val="11"/>
        <color rgb="FF1F3864"/>
        <rFont val="Noto Sans CJK SC"/>
        <family val="2"/>
      </rPr>
      <t xml:space="preserve">제출 전 체크리스트</t>
    </r>
  </si>
  <si>
    <t xml:space="preserve">☐  모든 행에 ID가 있고 중복이 없다</t>
  </si>
  <si>
    <r>
      <rPr>
        <sz val="10"/>
        <color theme="1"/>
        <rFont val="Arial"/>
        <family val="0"/>
        <charset val="1"/>
      </rPr>
      <t xml:space="preserve">☐  '</t>
    </r>
    <r>
      <rPr>
        <sz val="10"/>
        <color theme="1"/>
        <rFont val="Noto Sans CJK SC"/>
        <family val="2"/>
      </rPr>
      <t xml:space="preserve">세부 사항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열에 예외 처리가 최소 한 줄씩 적혀 있다</t>
    </r>
  </si>
  <si>
    <r>
      <rPr>
        <sz val="10"/>
        <color theme="1"/>
        <rFont val="Arial"/>
        <family val="0"/>
        <charset val="1"/>
      </rPr>
      <t xml:space="preserve">☐  '</t>
    </r>
    <r>
      <rPr>
        <sz val="10"/>
        <color theme="1"/>
        <rFont val="Noto Sans CJK SC"/>
        <family val="2"/>
      </rPr>
      <t xml:space="preserve">권한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열이 비어 있는 행이 없다 </t>
    </r>
    <r>
      <rPr>
        <sz val="10"/>
        <color theme="1"/>
        <rFont val="Arial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타인 데이터 접근 취약점의 원인</t>
    </r>
    <r>
      <rPr>
        <sz val="10"/>
        <color theme="1"/>
        <rFont val="Arial"/>
        <family val="0"/>
        <charset val="1"/>
      </rPr>
      <t xml:space="preserve">)</t>
    </r>
  </si>
  <si>
    <r>
      <rPr>
        <sz val="10"/>
        <color theme="1"/>
        <rFont val="Arial"/>
        <family val="0"/>
        <charset val="1"/>
      </rPr>
      <t xml:space="preserve">☐  'AI </t>
    </r>
    <r>
      <rPr>
        <sz val="10"/>
        <color theme="1"/>
        <rFont val="Noto Sans CJK SC"/>
        <family val="2"/>
      </rPr>
      <t xml:space="preserve">활용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열에 표시된 기술 요소가 </t>
    </r>
    <r>
      <rPr>
        <sz val="10"/>
        <color theme="1"/>
        <rFont val="Arial"/>
        <family val="0"/>
        <charset val="1"/>
      </rPr>
      <t xml:space="preserve">2</t>
    </r>
    <r>
      <rPr>
        <sz val="10"/>
        <color theme="1"/>
        <rFont val="Noto Sans CJK SC"/>
        <family val="2"/>
      </rPr>
      <t xml:space="preserve">종류 이상이다</t>
    </r>
  </si>
  <si>
    <r>
      <rPr>
        <sz val="10"/>
        <color theme="1"/>
        <rFont val="Arial"/>
        <family val="0"/>
        <charset val="1"/>
      </rPr>
      <t xml:space="preserve">☐  AI </t>
    </r>
    <r>
      <rPr>
        <sz val="10"/>
        <color theme="1"/>
        <rFont val="Noto Sans CJK SC"/>
        <family val="2"/>
      </rPr>
      <t xml:space="preserve">생성 콘텐츠 고지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개인정보 동의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피드백 수집이 각각 행으로 존재한다</t>
    </r>
  </si>
  <si>
    <t xml:space="preserve">☐  우선순위가 전부 Must가 아니다</t>
  </si>
  <si>
    <r>
      <rPr>
        <sz val="10"/>
        <color theme="1"/>
        <rFont val="Arial"/>
        <family val="0"/>
        <charset val="1"/>
      </rPr>
      <t xml:space="preserve">☐  'AI</t>
    </r>
    <r>
      <rPr>
        <sz val="10"/>
        <color theme="1"/>
        <rFont val="Noto Sans CJK SC"/>
        <family val="2"/>
      </rPr>
      <t xml:space="preserve">기능명세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시트의 </t>
    </r>
    <r>
      <rPr>
        <sz val="10"/>
        <color theme="1"/>
        <rFont val="Arial"/>
        <family val="0"/>
        <charset val="1"/>
      </rPr>
      <t xml:space="preserve">Agent </t>
    </r>
    <r>
      <rPr>
        <sz val="10"/>
        <color theme="1"/>
        <rFont val="Noto Sans CJK SC"/>
        <family val="2"/>
      </rPr>
      <t xml:space="preserve">도구표 또는 </t>
    </r>
    <r>
      <rPr>
        <sz val="10"/>
        <color theme="1"/>
        <rFont val="Arial"/>
        <family val="0"/>
        <charset val="1"/>
      </rPr>
      <t xml:space="preserve">RAG </t>
    </r>
    <r>
      <rPr>
        <sz val="10"/>
        <color theme="1"/>
        <rFont val="Noto Sans CJK SC"/>
        <family val="2"/>
      </rPr>
      <t xml:space="preserve">파라미터표가 채워져 있다</t>
    </r>
  </si>
  <si>
    <t xml:space="preserve">☐  기획서에 적은 문제 하나하나가 어떤 ID로 해결되는지 설명할 수 있다</t>
  </si>
  <si>
    <t xml:space="preserve">요구사항</t>
  </si>
  <si>
    <r>
      <rPr>
        <b val="true"/>
        <sz val="10"/>
        <color rgb="FFFFFFFF"/>
        <rFont val="Arial"/>
        <family val="0"/>
        <charset val="1"/>
      </rPr>
      <t xml:space="preserve">AI </t>
    </r>
    <r>
      <rPr>
        <b val="true"/>
        <sz val="10"/>
        <color rgb="FFFFFFFF"/>
        <rFont val="Noto Sans CJK SC"/>
        <family val="2"/>
      </rPr>
      <t xml:space="preserve">활용 ★</t>
    </r>
  </si>
  <si>
    <t xml:space="preserve">FR-MAIN-01</t>
  </si>
  <si>
    <t xml:space="preserve">메인(대시보드)</t>
  </si>
  <si>
    <t xml:space="preserve">머리글</t>
  </si>
  <si>
    <t xml:space="preserve">로고</t>
  </si>
  <si>
    <t xml:space="preserve">로고를 눌러 대시보드로 돌아온다</t>
  </si>
  <si>
    <t xml:space="preserve">클릭 시 대시보드로 이동</t>
  </si>
  <si>
    <t xml:space="preserve">모든 화면 상단에 고정 노출</t>
  </si>
  <si>
    <t xml:space="preserve">대시보드 링크</t>
  </si>
  <si>
    <t xml:space="preserve">비로그인 상태에서 클릭하면 랜딩 페이지로 이동</t>
  </si>
  <si>
    <t xml:space="preserve">비회원</t>
  </si>
  <si>
    <t xml:space="preserve">FR-MAIN-02</t>
  </si>
  <si>
    <t xml:space="preserve">로그인/마이페이지</t>
  </si>
  <si>
    <t xml:space="preserve">로그인 상태에 따라 다른 메뉴를 본다</t>
  </si>
  <si>
    <t xml:space="preserve">비로그인 시 로그인 버튼, 로그인 시 '○○○님' 표시</t>
  </si>
  <si>
    <t xml:space="preserve">마이페이지 드롭다운(설정·로그아웃) 제공</t>
  </si>
  <si>
    <t xml:space="preserve">회원 ID, 닉네임</t>
  </si>
  <si>
    <t xml:space="preserve">비로그인 상태로 마이페이지 진입 시 로그인 페이지로 이동</t>
  </si>
  <si>
    <t xml:space="preserve">FR-MAIN-03</t>
  </si>
  <si>
    <t xml:space="preserve">본문</t>
  </si>
  <si>
    <t xml:space="preserve">오늘의 학습 블록</t>
  </si>
  <si>
    <t xml:space="preserve">오늘 배정된 학습 블록을 한눈에 확인한다</t>
  </si>
  <si>
    <t xml:space="preserve">오늘 날짜의 블록을 시간순 카드로 표시</t>
  </si>
  <si>
    <t xml:space="preserve">블록별 과목·학습 범위·예상 소요시간·완료 체크박스 표시</t>
  </si>
  <si>
    <t xml:space="preserve">회원 ID, 블록 ID, 시작·종료 시각, 학습 단위명, 완료 여부</t>
  </si>
  <si>
    <t xml:space="preserve">블록 0건이면 '오늘은 휴식일입니다' 안내와 일정 재생성 버튼 노출 / 지난 시각 블록은 회색 처리</t>
  </si>
  <si>
    <t xml:space="preserve">회원</t>
  </si>
  <si>
    <t xml:space="preserve">파이프라인 1의 결과 화면</t>
  </si>
  <si>
    <t xml:space="preserve">FR-MAIN-04</t>
  </si>
  <si>
    <t xml:space="preserve">목표 진행률</t>
  </si>
  <si>
    <t xml:space="preserve">목표까지 남은 양과 D-day를 확인한다</t>
  </si>
  <si>
    <t xml:space="preserve">진행률 바와 D-day를 상단에 표시</t>
  </si>
  <si>
    <t xml:space="preserve">완료 학습 단위 수 ÷ 전체 학습 단위 수 기준 백분율</t>
  </si>
  <si>
    <t xml:space="preserve">회원 ID, 목표 ID, 목표 기한, 완료 단위 수, 전체 단위 수</t>
  </si>
  <si>
    <t xml:space="preserve">기한이 지나면 D+로 표시하고 목표 종료 여부를 묻는 모달 노출</t>
  </si>
  <si>
    <t xml:space="preserve">FR-PACE-04</t>
  </si>
  <si>
    <t xml:space="preserve">진도 신호등</t>
  </si>
  <si>
    <t xml:space="preserve">계획 대비 현재 위치를 한눈에 본다</t>
  </si>
  <si>
    <t xml:space="preserve">기대 진도 대비 상태를 3색과 한 문장으로 표시</t>
  </si>
  <si>
    <t xml:space="preserve">'이번 주 일요일까지 3단원 완료' 형태의 다음 체크포인트 문장 상시 노출 / 앞섬·정상·지연 3색</t>
  </si>
  <si>
    <t xml:space="preserve">목표 ID, 다음 체크포인트, 기대·실제 진도, 지연 일수</t>
  </si>
  <si>
    <t xml:space="preserve">판정 유보 중이면 회색으로 '집계 중' 표시 / 체크포인트가 없는 목표는 D-day만 표시</t>
  </si>
  <si>
    <t xml:space="preserve">FR-PACE-02 결과 표시</t>
  </si>
  <si>
    <t xml:space="preserve">FR-MAIN-05</t>
  </si>
  <si>
    <t xml:space="preserve">추천 공모전 배너</t>
  </si>
  <si>
    <t xml:space="preserve">이번 주 추천 공모전을 대시보드에서 바로 본다</t>
  </si>
  <si>
    <t xml:space="preserve">주 1회 갱신되는 추천 3건을 카드로 표시</t>
  </si>
  <si>
    <t xml:space="preserve">마감 D-day 순 정렬 / 클릭 시 공모전 상세로 이동</t>
  </si>
  <si>
    <t xml:space="preserve">회원 ID, 공고 ID, 제목, 마감일, 추천 점수</t>
  </si>
  <si>
    <t xml:space="preserve">추천 결과가 없으면 배너 영역 자체를 숨김 / 마감이 지난 공고는 표시 제외</t>
  </si>
  <si>
    <t xml:space="preserve">FR-CONT-04 결과 재사용</t>
  </si>
  <si>
    <t xml:space="preserve">FR-UI-01</t>
  </si>
  <si>
    <t xml:space="preserve">적응형 테마</t>
  </si>
  <si>
    <t xml:space="preserve">학습량에 따라 화면 테마가 달라진다</t>
  </si>
  <si>
    <t xml:space="preserve">레벨·스트릭 구간에 따라 테마 프리셋 전환</t>
  </si>
  <si>
    <t xml:space="preserve">레벨 5단계 / 스트릭 3·7·14·30일 구간 / 전환 시 안내 토스트 1회</t>
  </si>
  <si>
    <t xml:space="preserve">회원 ID, 누적 학습시간, 연속 학습일, 레벨</t>
  </si>
  <si>
    <t xml:space="preserve">집계 서버 응답 실패 시 직전 레벨 테마를 유지하고 재시도 / 사용자가 '테마 고정'을 켜면 적응 중단</t>
  </si>
  <si>
    <t xml:space="preserve">색약 사용자를 위해 명도 대비는 레벨과 무관하게 유지할지 논의 필요</t>
  </si>
  <si>
    <t xml:space="preserve">파이프라인 3</t>
  </si>
  <si>
    <t xml:space="preserve">FR-UI-02</t>
  </si>
  <si>
    <t xml:space="preserve">정보 밀도 조절</t>
  </si>
  <si>
    <t xml:space="preserve">학습량이 많을수록 더 촘촘한 화면을 본다</t>
  </si>
  <si>
    <t xml:space="preserve">레벨에 따라 카드 밀도와 표시 항목 수 조정</t>
  </si>
  <si>
    <t xml:space="preserve">레벨 1~2는 요약형, 4~5는 상세형</t>
  </si>
  <si>
    <t xml:space="preserve">회원 ID, 레벨</t>
  </si>
  <si>
    <t xml:space="preserve">마이페이지에서 밀도 수동 고정 가능 / 수동 설정이 자동 조절보다 우선</t>
  </si>
  <si>
    <t xml:space="preserve">FR-MAIN-06</t>
  </si>
  <si>
    <t xml:space="preserve">바닥글</t>
  </si>
  <si>
    <t xml:space="preserve">개인정보처리방침</t>
  </si>
  <si>
    <t xml:space="preserve">개인정보 처리방침을 확인한다</t>
  </si>
  <si>
    <t xml:space="preserve">클릭 시 방침 페이지로 이동</t>
  </si>
  <si>
    <t xml:space="preserve">수집 항목·보관 기간·파기 방법 명시</t>
  </si>
  <si>
    <t xml:space="preserve">정책 페이지 링크</t>
  </si>
  <si>
    <t xml:space="preserve">캘린더 연동으로 읽는 일정 정보의 범위(시간대만 사용)를 별도 문단으로 고지</t>
  </si>
  <si>
    <t xml:space="preserve">제출 전 문구 검토 필요</t>
  </si>
  <si>
    <t xml:space="preserve">NFR-PRIV-01</t>
  </si>
  <si>
    <t xml:space="preserve">FR-AUTH-01</t>
  </si>
  <si>
    <t xml:space="preserve">로그인 페이지</t>
  </si>
  <si>
    <t xml:space="preserve">로그인</t>
  </si>
  <si>
    <t xml:space="preserve">이메일 로그인</t>
  </si>
  <si>
    <t xml:space="preserve">이메일과 비밀번호로 로그인한다</t>
  </si>
  <si>
    <t xml:space="preserve">입력 후 로그인 버튼 클릭 시 인증</t>
  </si>
  <si>
    <t xml:space="preserve">이메일 형식 검증 / 비밀번호는 길이만 검증하고 조합 규칙은 안내하지 않음</t>
  </si>
  <si>
    <t xml:space="preserve">이메일, 비밀번호 해시</t>
  </si>
  <si>
    <t xml:space="preserve">5회 연속 실패 시 60초 잠금 / 실패 사유를 '아이디 또는 비밀번호가 올바르지 않습니다'로 통일(계정 존재 여부 노출 방지) / 로그인 화면에 비밀번호 조합 규칙을 노출하지 않음(정책 힌트 제공 방지)</t>
  </si>
  <si>
    <t xml:space="preserve">NFR-SEC-01</t>
  </si>
  <si>
    <t xml:space="preserve">FR-AUTH-02</t>
  </si>
  <si>
    <t xml:space="preserve">구글 로그인</t>
  </si>
  <si>
    <t xml:space="preserve">구글 계정으로 로그인한다</t>
  </si>
  <si>
    <t xml:space="preserve">구글 OAuth 인증 후 세션 생성</t>
  </si>
  <si>
    <t xml:space="preserve">캘린더 권한은 이 단계에서 요구하지 않고 온보딩에서 별도 요청</t>
  </si>
  <si>
    <t xml:space="preserve">구글 계정 ID, 이메일, 리프레시 토큰</t>
  </si>
  <si>
    <t xml:space="preserve">인증 취소 시 로그인 화면으로 복귀 / 동일 이메일의 자체 가입 계정이 있으면 계정 연결 안내</t>
  </si>
  <si>
    <t xml:space="preserve">FR-PLAN-01의 전제</t>
  </si>
  <si>
    <t xml:space="preserve">FR-AUTH-03</t>
  </si>
  <si>
    <t xml:space="preserve">계정찾기</t>
  </si>
  <si>
    <t xml:space="preserve">비밀번호 재설정</t>
  </si>
  <si>
    <t xml:space="preserve">이메일 인증으로 비밀번호를 재설정한다</t>
  </si>
  <si>
    <t xml:space="preserve">이메일 입력 후 인증 메일 발송</t>
  </si>
  <si>
    <t xml:space="preserve">인증 링크 유효시간 30분 / 새 비밀번호는 FR-JOIN-01과 동일한 조합 규칙 적용</t>
  </si>
  <si>
    <t xml:space="preserve">이메일, 인증 토큰</t>
  </si>
  <si>
    <t xml:space="preserve">가입되지 않은 이메일도 동일한 안내 문구 노출(계정 존재 여부 노출 방지) / 직전 비밀번호와 동일한 값은 거부 / 재설정 완료 시 기존 세션 전체 만료</t>
  </si>
  <si>
    <t xml:space="preserve">FR-JOIN-01</t>
  </si>
  <si>
    <t xml:space="preserve">회원가입 페이지</t>
  </si>
  <si>
    <t xml:space="preserve">회원가입</t>
  </si>
  <si>
    <t xml:space="preserve">정보 입력</t>
  </si>
  <si>
    <t xml:space="preserve">이메일·비밀번호·닉네임으로 가입한다</t>
  </si>
  <si>
    <t xml:space="preserve">입력 후 가입 버튼 클릭</t>
  </si>
  <si>
    <t xml:space="preserve">이메일 중복 확인 / 비밀번호 8~64자, 영문·숫자·특수문자(!@#$%^&amp;*()-_=+ 등)를 각 1자 이상 포함 / 닉네임 2~10자</t>
  </si>
  <si>
    <t xml:space="preserve">이메일, 비밀번호, 닉네임</t>
  </si>
  <si>
    <t xml:space="preserve">충족하지 못한 조건을 입력 중 실시간으로 표시하고 모두 충족해야 가입 버튼 활성화 / 이메일·닉네임을 포함한 비밀번호와 자주 쓰이는 비밀번호 목록(상위 1만 건)은 거부 / 중복 이메일이면 '이미 가입된 이메일입니다' / 비밀번호 해싱·저장은 Supabase Auth가 처리</t>
  </si>
  <si>
    <t xml:space="preserve">특수문자 허용 범위를 화면에 명시해야 입력 실패가 줄어듦</t>
  </si>
  <si>
    <t xml:space="preserve">NFR-SEC-03</t>
  </si>
  <si>
    <t xml:space="preserve">FR-JOIN-02</t>
  </si>
  <si>
    <t xml:space="preserve">개인정보 수집 동의</t>
  </si>
  <si>
    <t xml:space="preserve">수집 항목을 고지받고 동의한다</t>
  </si>
  <si>
    <t xml:space="preserve">체크박스로 필수/선택 동의</t>
  </si>
  <si>
    <t xml:space="preserve">필수(이메일·학습 이력·캘린더 시간대) / 선택(알림 메일 수신)</t>
  </si>
  <si>
    <t xml:space="preserve">동의 여부, 동의 일시</t>
  </si>
  <si>
    <t xml:space="preserve">필수 항목 미동의 시 가입 버튼 비활성화 / 동의 일시를 DB에 기록</t>
  </si>
  <si>
    <t xml:space="preserve">FR-JOIN-03</t>
  </si>
  <si>
    <t xml:space="preserve">AI 이용 고지</t>
  </si>
  <si>
    <t xml:space="preserve">AI가 목표·일정을 생성함을 가입 단계에서 고지받는다</t>
  </si>
  <si>
    <t xml:space="preserve">안내 문구와 필수 체크박스 제공</t>
  </si>
  <si>
    <t xml:space="preserve">'추천 목표와 학습 일정은 AI가 생성하며 부정확할 수 있습니다' 문구 표시</t>
  </si>
  <si>
    <t xml:space="preserve">미동의 시 가입 불가 / 고지 문구가 바뀌면 다음 로그인 시 재동의 요청</t>
  </si>
  <si>
    <t xml:space="preserve">NFR-ETHIC-01</t>
  </si>
  <si>
    <t xml:space="preserve">FR-GOAL-01</t>
  </si>
  <si>
    <t xml:space="preserve">온보딩(목표 탐색)</t>
  </si>
  <si>
    <t xml:space="preserve">목표 탐색</t>
  </si>
  <si>
    <t xml:space="preserve">관심분야 입력</t>
  </si>
  <si>
    <t xml:space="preserve">관심 있는 분야를 입력하거나 건너뛰고 목표를 탐색한다</t>
  </si>
  <si>
    <t xml:space="preserve">태그 선택 또는 자유 입력 후 다음 단계로 이동, 입력 없이 '건너뛰기'도 가능</t>
  </si>
  <si>
    <t xml:space="preserve">태그 최대 5개 / 자유 입력 100자 / 입력 없이도 다음 단계 진행 가능</t>
  </si>
  <si>
    <t xml:space="preserve">회원 ID, 관심 태그, 자유 입력 텍스트</t>
  </si>
  <si>
    <t xml:space="preserve">입력이 0건이면 FR-GOAL-11의 유사 분야 추천 경로로 진행 / 자유 입력만 있으면 태그로 정규화한 뒤 진행 / 비회원 입력값은 브라우저 세션에만 보관하고 서버에 저장하지 않음</t>
  </si>
  <si>
    <t xml:space="preserve">파이프라인 0 진입점</t>
  </si>
  <si>
    <t xml:space="preserve">FR-GOAL-11</t>
  </si>
  <si>
    <t xml:space="preserve">유사 분야 추천</t>
  </si>
  <si>
    <t xml:space="preserve">관심분야를 안 적어도 비슷한 분야를 추천받는다</t>
  </si>
  <si>
    <t xml:space="preserve">최근 학습·조회 이력에서 분야 태그를 뽑아 유사 분야를 제시</t>
  </si>
  <si>
    <t xml:space="preserve">회원은 진행 중·최근 종료 목표와 완료한 학습 단위의 태그, 비회원은 이번 세션에서 조회한 공모전 분야를 사용 / 유사 분야 3~5개를 태그 형태로 제시하고 선택 시 FR-GOAL-03의 쿼리로 사용</t>
  </si>
  <si>
    <t xml:space="preserve">회원 ID 또는 세션 키, 최근 목표 태그, 완료 학습 단위 태그, 조회 공고 분야, 태그 임베딩</t>
  </si>
  <si>
    <t xml:space="preserve">이력이 전혀 없으면 추천을 만들지 않고 분야별 인기 목표 목록으로 대체 / 추천 태그에는 '이런 분야는 어떠세요'처럼 확정이 아닌 제안임을 표시 / 종료된 지 12개월이 지난 목표의 태그는 제외</t>
  </si>
  <si>
    <t xml:space="preserve">이력이 없는 첫 방문 비회원이 가장 흔한 경우라 인기 목록 품질이 사실상 기본 경험이 됨</t>
  </si>
  <si>
    <t xml:space="preserve">콜드스타트 대응</t>
  </si>
  <si>
    <t xml:space="preserve">FR-GOAL-02</t>
  </si>
  <si>
    <t xml:space="preserve">가용 시간 입력</t>
  </si>
  <si>
    <t xml:space="preserve">주간 공부 가능 시간을 입력한다</t>
  </si>
  <si>
    <t xml:space="preserve">요일별 시간대를 드래그로 선택</t>
  </si>
  <si>
    <t xml:space="preserve">30분 단위 / 주 3시간 이상 권장 / 회원이 캘린더를 연동한 경우 초기값 자동 채움</t>
  </si>
  <si>
    <t xml:space="preserve">회원 ID, 요일, 시작·종료 시각</t>
  </si>
  <si>
    <t xml:space="preserve">주 3시간 미만이면 경고 후 진행 여부를 확인 / 비회원은 캘린더 연동 없이 수동 입력만 사용하고 값은 세션에만 보관</t>
  </si>
  <si>
    <t xml:space="preserve">FR-GOAL-03</t>
  </si>
  <si>
    <t xml:space="preserve">목표 후보 매칭</t>
  </si>
  <si>
    <t xml:space="preserve">관심분야에 맞는 자격증·공모전 후보를 받는다</t>
  </si>
  <si>
    <t xml:space="preserve">관심 태그 또는 대체 쿼리를 임베딩해 목표 카탈로그에서 유사 후보 검색</t>
  </si>
  <si>
    <t xml:space="preserve">검색 쿼리 우선순위 ① 입력한 관심 태그 ② 진행 중·최근 목표의 분야 태그(회원) ③ 최근 조회한 공모전 분야(비회원) / 후보 최대 20건</t>
  </si>
  <si>
    <t xml:space="preserve">관심 태그 임베딩, 목표 카탈로그(자격증·공모전), 유사도</t>
  </si>
  <si>
    <t xml:space="preserve">①~③이 모두 없으면 검색 대신 분야별 인기 목표 목록을 제시하고 '추천이 아닌 인기 목록'임을 표시 / 최고 유사도 0.60 미만이면 후보를 넘기지 않고 관심분야 입력 또는 인기 목록을 안내 / 검색 3초 타임아웃 시 태그 완전일치 검색으로 대체</t>
  </si>
  <si>
    <t xml:space="preserve">AI기능명세 ③ 참조</t>
  </si>
  <si>
    <t xml:space="preserve">FR-GOAL-04</t>
  </si>
  <si>
    <t xml:space="preserve">기간 적합성 판정</t>
  </si>
  <si>
    <t xml:space="preserve">가용 시간으로 달성 가능한 목표만 남는다</t>
  </si>
  <si>
    <t xml:space="preserve">후보별 표준 학습시간과 주간 가용시간을 대조해 필터링</t>
  </si>
  <si>
    <t xml:space="preserve">달성 예상 주차 = 표준 학습시간 ÷ 주간 가용시간 / 시험일·마감일 초과 후보는 제외</t>
  </si>
  <si>
    <t xml:space="preserve">후보 ID, 표준 학습시간, 주간 가용시간, 시험일·마감일</t>
  </si>
  <si>
    <t xml:space="preserve">모든 후보가 기한을 초과하면 '기간 늘리기 / 목표 범위 줄이기' 두 선택지를 제시 / 표준 학습시간이 없는 후보는 카탈로그 중앙값으로 대체하고 추정치임을 표시</t>
  </si>
  <si>
    <t xml:space="preserve">LLM 미사용, 결정론적 계산</t>
  </si>
  <si>
    <t xml:space="preserve">FR-GOAL-09</t>
  </si>
  <si>
    <t xml:space="preserve">최소 필요 기간 산정</t>
  </si>
  <si>
    <t xml:space="preserve">이 목표에 최소 몇 주가 필요한지 안내받는다</t>
  </si>
  <si>
    <t xml:space="preserve">후보별 최소 기간과 권장 기간을 함께 표시</t>
  </si>
  <si>
    <t xml:space="preserve">최소 기간 = 표준 학습시간 ÷ 주당 최대 투입 가능 시간 / 권장 기간 = 최소 기간 × 1.3(복습·이탈 여유)</t>
  </si>
  <si>
    <t xml:space="preserve">후보 ID, 표준 학습시간, 주당 가용시간, 주당 최대 투입 시간, 최소·권장 주차</t>
  </si>
  <si>
    <t xml:space="preserve">표준 학습시간이 없는 후보는 카탈로그 중앙값으로 계산하고 '추정' 표시 / 시험일이 고정된 자격증은 다음 회차 시험일을 기준으로 계산해 함께 안내</t>
  </si>
  <si>
    <t xml:space="preserve">주당 최대 투입 시간은 가용시간의 80%로 볼지 100%로 볼지 확정 필요</t>
  </si>
  <si>
    <t xml:space="preserve">FR-GOAL-04와 같은 계산 모듈 사용</t>
  </si>
  <si>
    <t xml:space="preserve">FR-GOAL-05</t>
  </si>
  <si>
    <t xml:space="preserve">목표 추천 카드</t>
  </si>
  <si>
    <t xml:space="preserve">추천 목표 3~5개를 이유와 함께 받는다</t>
  </si>
  <si>
    <t xml:space="preserve">목표명·예상 기간·주당 필요시간·추천 이유를 카드로 표시</t>
  </si>
  <si>
    <t xml:space="preserve">추천 이유는 2문장 이내 / 카드마다 'AI 추천' 배지와 부정확 가능성 고지 문구 표시(비회원 화면에도 동일 적용)</t>
  </si>
  <si>
    <t xml:space="preserve">목표 ID, 예상 기간, 주당 필요시간, 추천 이유 텍스트</t>
  </si>
  <si>
    <t xml:space="preserve">적합 후보가 3개 미만이면 있는 만큼만 노출하고 직접 입력을 함께 제안 / 이유 생성 20초 타임아웃 시 이유 없이 카드만 표시 / 가입 전 화면이므로 고지 문구를 FR-JOIN-03 동의와 별개로 상시 노출</t>
  </si>
  <si>
    <t xml:space="preserve">FR-GOAL-06</t>
  </si>
  <si>
    <t xml:space="preserve">목표 설정</t>
  </si>
  <si>
    <t xml:space="preserve">목표 직접 입력</t>
  </si>
  <si>
    <t xml:space="preserve">추천을 쓰지 않고 목표를 직접 등록한다</t>
  </si>
  <si>
    <t xml:space="preserve">목표명·기한·주당 목표 시간을 입력</t>
  </si>
  <si>
    <t xml:space="preserve">목표명 2~40자 / 기한은 오늘 이후 날짜만 선택 가능</t>
  </si>
  <si>
    <t xml:space="preserve">회원 ID, 목표명, 기한, 주당 목표 시간</t>
  </si>
  <si>
    <t xml:space="preserve">카탈로그에 없는 목표는 학습 분해 근거가 적어 추정 비중이 커짐을 안내 / 비회원은 입력까지만 가능하고 저장은 FR-GOAL-07에서 가입 후 처리</t>
  </si>
  <si>
    <t xml:space="preserve">파이프라인 0을 건너뛰는 경로</t>
  </si>
  <si>
    <t xml:space="preserve">FR-GOAL-10</t>
  </si>
  <si>
    <t xml:space="preserve">기한 실현 가능성 경고</t>
  </si>
  <si>
    <t xml:space="preserve">직접 정한 기한이 무리인지 즉시 알려준다</t>
  </si>
  <si>
    <t xml:space="preserve">입력한 기한과 최소 필요 기간을 비교해 경고 표시</t>
  </si>
  <si>
    <t xml:space="preserve">기한 &lt; 최소 기간이면 빨간 경고, 최소~권장 사이면 주의 표시 / 부족한 주당 시간을 함께 계산해 표시</t>
  </si>
  <si>
    <t xml:space="preserve">목표 ID, 입력 기한, 최소·권장 주차, 주당 가용시간</t>
  </si>
  <si>
    <t xml:space="preserve">경고 상태에서도 사용자가 강행할 수 있게 하되 '범위 축소·기한 연장·주당 시간 증가' 세 가지 조정안을 함께 제시 / 카탈로그에 없는 목표는 계산 불가를 알리고 경고를 생략</t>
  </si>
  <si>
    <t xml:space="preserve">FR-GOAL-07</t>
  </si>
  <si>
    <t xml:space="preserve">목표 확정</t>
  </si>
  <si>
    <t xml:space="preserve">선택한 목표를 확정해 일정 생성을 시작한다</t>
  </si>
  <si>
    <t xml:space="preserve">확정 버튼 클릭 시 일정 생성 파이프라인 호출</t>
  </si>
  <si>
    <t xml:space="preserve">동시 진행 목표는 최대 2개</t>
  </si>
  <si>
    <t xml:space="preserve">회원 ID, 목표 ID, 확정 일시</t>
  </si>
  <si>
    <t xml:space="preserve">이미 2개가 진행 중이면 기존 목표 종료를 먼저 요구 / 비회원이 확정을 누르면 회원가입으로 이동하고 가입 후 세션의 탐색 결과를 그대로 인계 / 생성 실패 시 목표만 저장하고 '일정 만들기' 재시도 버튼 제공</t>
  </si>
  <si>
    <t xml:space="preserve">파이프라인 1 진입점 · 회원 전용 경계선</t>
  </si>
  <si>
    <t xml:space="preserve">FR-GOAL-08</t>
  </si>
  <si>
    <t xml:space="preserve">추천 피드백</t>
  </si>
  <si>
    <t xml:space="preserve">추천 목표가 맞았는지 평가한다</t>
  </si>
  <si>
    <t xml:space="preserve">카드별 '관심 있음 / 관심 없음' 선택</t>
  </si>
  <si>
    <t xml:space="preserve">관심 없음 선택 시 사유를 선택지로 수집(분야 안 맞음·기간 부담·이미 취득)</t>
  </si>
  <si>
    <t xml:space="preserve">회원 ID, 목표 ID, 평가, 사유</t>
  </si>
  <si>
    <t xml:space="preserve">Memory</t>
  </si>
  <si>
    <t xml:space="preserve">동일 목표 재추천 시 관심 없음 이력을 반영해 순위 하향 / 비회원 평가는 세션에만 보관하고 서버 저장·학습에 사용하지 않음 / 저장 실패 시 로컬 큐에 보관 후 재전송</t>
  </si>
  <si>
    <t xml:space="preserve">실사용자 테스트 근거 자료로 사용</t>
  </si>
  <si>
    <t xml:space="preserve">피드백 수집</t>
  </si>
  <si>
    <t xml:space="preserve">FR-GOAL-12</t>
  </si>
  <si>
    <t xml:space="preserve">비회원 이용 제한</t>
  </si>
  <si>
    <t xml:space="preserve">비회원도 쓰되 남용은 막는다</t>
  </si>
  <si>
    <t xml:space="preserve">세션·IP 기준으로 AI 추천 호출 횟수를 제한</t>
  </si>
  <si>
    <t xml:space="preserve">목표 탐색은 24시간 기준 3회 / 초과 시 가입 안내 화면 표시 / 자동화 요청이 의심되면 캡차 노출</t>
  </si>
  <si>
    <t xml:space="preserve">세션 키, IP 해시, 호출 횟수, 최초 호출 시각</t>
  </si>
  <si>
    <t xml:space="preserve">제한에 걸려도 인기 목표 목록과 공모전 검색(FR-CONT-03)은 계속 사용 가능 / IP는 해시로만 보관하고 24시간 후 파기 / 전체 일일 비용 임계치 도달 시 비회원 추천을 먼저 차단(FR-ADMIN-02와 연동)</t>
  </si>
  <si>
    <t xml:space="preserve">비회원에게 AI 호출을 열어주는 만큼 비용·봇 대응이 함께 필요</t>
  </si>
  <si>
    <t xml:space="preserve">NFR-SEC-04</t>
  </si>
  <si>
    <t xml:space="preserve">FR-GOAL-13</t>
  </si>
  <si>
    <t xml:space="preserve">탐색 결과 이어받기</t>
  </si>
  <si>
    <t xml:space="preserve">가입하면 방금 고른 목표가 그대로 넘어온다</t>
  </si>
  <si>
    <t xml:space="preserve">세션에 담긴 관심 태그·가용시간·선택 목표를 가입 후 계정으로 이전</t>
  </si>
  <si>
    <t xml:space="preserve">이전 대상은 관심 태그, 가용시간, 선택한 목표 후보 / 이전 전에 무엇이 넘어가는지 화면에 목록으로 표시</t>
  </si>
  <si>
    <t xml:space="preserve">세션 키, 관심 태그, 가용시간, 선택 목표 ID, 회원 ID</t>
  </si>
  <si>
    <t xml:space="preserve">가입을 완료하지 않으면 세션 종료와 함께 값을 폐기 / 세션 만료(30분) 시 이전하지 않고 온보딩을 처음부터 진행 / 이전 직후 사용자가 값을 수정할 수 있게 확인 화면 제공</t>
  </si>
  <si>
    <t xml:space="preserve">FR-CONT-11과 같은 인계 방식 사용</t>
  </si>
  <si>
    <t xml:space="preserve">FR-PLAN-01</t>
  </si>
  <si>
    <t xml:space="preserve">일정 페이지</t>
  </si>
  <si>
    <t xml:space="preserve">캘린더</t>
  </si>
  <si>
    <t xml:space="preserve">캘린더 연동</t>
  </si>
  <si>
    <t xml:space="preserve">구글 캘린더를 연동해 빈 시간을 찾는다</t>
  </si>
  <si>
    <t xml:space="preserve">OAuth 동의 후 향후 8주 일정을 읽어 빈 슬롯 추출</t>
  </si>
  <si>
    <t xml:space="preserve">읽기 권한만 요청 / 30분 단위 슬롯 / 종일 일정은 바쁨으로 간주</t>
  </si>
  <si>
    <t xml:space="preserve">회원 ID, 액세스·리프레시 토큰, 일정 시작·종료 시각</t>
  </si>
  <si>
    <t xml:space="preserve">일정 페이지는 회원 전용이며 비회원 접근 시 로그인 페이지로 이동 / 연동 거부 시 FR-GOAL-02의 수동 가용시간만으로 생성 / 토큰 만료 시 재연동 배너 노출 / 일정 제목·참석자는 저장하지 않고 시간대만 사용</t>
  </si>
  <si>
    <t xml:space="preserve">작성자 본인</t>
  </si>
  <si>
    <t xml:space="preserve">FR-PLAN-02</t>
  </si>
  <si>
    <t xml:space="preserve">일정 생성</t>
  </si>
  <si>
    <t xml:space="preserve">학습 분해</t>
  </si>
  <si>
    <t xml:space="preserve">목표가 학습 단위로 잘게 나뉜다</t>
  </si>
  <si>
    <t xml:space="preserve">에이전트가 목표를 단원·과제 단위로 분해하고 소요시간을 추정</t>
  </si>
  <si>
    <t xml:space="preserve">단위당 30~120분 / 선후 관계 표시 / 결과는 고정 JSON 스키마로 반환</t>
  </si>
  <si>
    <t xml:space="preserve">목표 ID, 학습 단위명, 예상 소요시간, 선행 단위</t>
  </si>
  <si>
    <t xml:space="preserve">AI Agent</t>
  </si>
  <si>
    <t xml:space="preserve">스키마 검증 실패 시 1회 재시도 후 표준 커리큘럼 템플릿으로 대체 / 도구 호출 5회 초과 시 중간 결과로 마감 / 총 소요시간이 가용시간의 1.5배를 넘으면 범위 축소안을 함께 제시</t>
  </si>
  <si>
    <t xml:space="preserve">AI기능명세 ①② 참조</t>
  </si>
  <si>
    <t xml:space="preserve">FR-PLAN-03</t>
  </si>
  <si>
    <t xml:space="preserve">스케줄 배치</t>
  </si>
  <si>
    <t xml:space="preserve">학습 단위가 빈 시간에 자동 배치된다</t>
  </si>
  <si>
    <t xml:space="preserve">선행 관계와 마감일을 지켜 결정론적으로 배치</t>
  </si>
  <si>
    <t xml:space="preserve">하루 최대 3블록·연속 2시간 초과 금지 / 주 1일 휴식일 확보</t>
  </si>
  <si>
    <t xml:space="preserve">블록 ID, 학습 단위 ID, 배치 일시, 소요시간</t>
  </si>
  <si>
    <t xml:space="preserve">마감일 안에 다 넣을 수 없으면 초과분을 '미배치'로 남기고 목표 조정을 안내 / 같은 입력이면 같은 결과가 나오도록 난수 미사용</t>
  </si>
  <si>
    <t xml:space="preserve">LLM 미사용 구간</t>
  </si>
  <si>
    <t xml:space="preserve">FR-PACE-01</t>
  </si>
  <si>
    <t xml:space="preserve">진도 관리</t>
  </si>
  <si>
    <t xml:space="preserve">중간 목표 생성</t>
  </si>
  <si>
    <t xml:space="preserve">'언제까지 어디까지'가 자동으로 정해진다</t>
  </si>
  <si>
    <t xml:space="preserve">학습 단위를 묶어 주 단위 체크포인트를 생성</t>
  </si>
  <si>
    <t xml:space="preserve">목표 기한을 4~8구간으로 분할 / 구간마다 '○월 ○일까지 △△단원 완료' 형태의 문장 생성 / 마감 직전 구간은 복습으로 배정</t>
  </si>
  <si>
    <t xml:space="preserve">목표 ID, 체크포인트 ID, 기준 일자, 목표 누적 단위 수, 설명 문구</t>
  </si>
  <si>
    <t xml:space="preserve">학습 단위가 4개 미만이면 체크포인트를 만들지 않고 최종 기한만 표시 / 일정이 재조정돼도 체크포인트 기준 일자는 유지하고 필요 시 사용자 확인 후에만 이동</t>
  </si>
  <si>
    <t xml:space="preserve">파이프라인 1의 산출물</t>
  </si>
  <si>
    <t xml:space="preserve">FR-PACE-02</t>
  </si>
  <si>
    <t xml:space="preserve">진도 기준선 산출</t>
  </si>
  <si>
    <t xml:space="preserve">지금 어디까지 했어야 하는지 계산된다</t>
  </si>
  <si>
    <t xml:space="preserve">오늘 기준 기대 진도와 실제 진도를 비교</t>
  </si>
  <si>
    <t xml:space="preserve">기대 진도 = 체크포인트 사이를 일 단위 선형 보간 / 차이를 '○일 앞섬 / ○일 뒤처짐'으로 환산</t>
  </si>
  <si>
    <t xml:space="preserve">목표 ID, 기대 누적 단위 수, 실제 완료 단위 수, 차이(일)</t>
  </si>
  <si>
    <t xml:space="preserve">학습 시작 후 3일 미만이면 판정을 유보하고 '집계 중'으로 표시 / 휴식일은 지연 계산에서 제외</t>
  </si>
  <si>
    <t xml:space="preserve">FR-PACE-03·FR-ALARM-02의 입력값</t>
  </si>
  <si>
    <t xml:space="preserve">FR-PACE-03</t>
  </si>
  <si>
    <t xml:space="preserve">지연 감지·조정 제안</t>
  </si>
  <si>
    <t xml:space="preserve">뒤처지면 무엇을 바꿔야 하는지 안내받는다</t>
  </si>
  <si>
    <t xml:space="preserve">지연 폭이 임계치를 넘으면 조정안을 제시</t>
  </si>
  <si>
    <t xml:space="preserve">3일 이상 뒤처지면 주의, 7일 이상이면 경고 / 조정안은 '주당 시간 늘리기·범위 줄이기·기한 연장' 중 계산 가능한 것만 제시</t>
  </si>
  <si>
    <t xml:space="preserve">목표 ID, 지연 일수, 잔여 단위 수, 잔여 가용시간</t>
  </si>
  <si>
    <t xml:space="preserve">남은 기간에 어떤 조정으로도 달성이 불가능하면 목표 재설정을 권유 / 제안 무시를 3회 선택하면 같은 목표에서는 다시 띄우지 않음</t>
  </si>
  <si>
    <t xml:space="preserve">경고 문구가 압박이 되지 않도록 표현 검토 필요</t>
  </si>
  <si>
    <t xml:space="preserve">FR-PLAN-04</t>
  </si>
  <si>
    <t xml:space="preserve">일정 조회</t>
  </si>
  <si>
    <t xml:space="preserve">주·월 단위로 학습 일정을 확인한다</t>
  </si>
  <si>
    <t xml:space="preserve">주간/월간 뷰 전환</t>
  </si>
  <si>
    <t xml:space="preserve">완료·예정·미배치를 색으로 구분</t>
  </si>
  <si>
    <t xml:space="preserve">블록 ID, 일시, 상태</t>
  </si>
  <si>
    <t xml:space="preserve">조회 범위는 목표 기한까지로 제한 / 비회원 접근 시 로그인 페이지로 이동하고 로그인 후 원래 URL로 복귀</t>
  </si>
  <si>
    <t xml:space="preserve">FR-PLAN-05</t>
  </si>
  <si>
    <t xml:space="preserve">블록 수동 편집</t>
  </si>
  <si>
    <t xml:space="preserve">배치된 블록을 직접 옮기거나 지운다</t>
  </si>
  <si>
    <t xml:space="preserve">드래그로 이동, 메뉴로 삭제</t>
  </si>
  <si>
    <t xml:space="preserve">이동 시 선행 관계 위반 여부를 즉시 검사</t>
  </si>
  <si>
    <t xml:space="preserve">블록 ID, 변경 전·후 일시, 고정 여부</t>
  </si>
  <si>
    <t xml:space="preserve">선행 관계를 위반하면 경고 후 강행 여부를 사용자가 선택 / 수동 이동한 블록은 야간 재조정에서 고정 처리</t>
  </si>
  <si>
    <t xml:space="preserve">FR-PLAN-06</t>
  </si>
  <si>
    <t xml:space="preserve">자동 재조정</t>
  </si>
  <si>
    <t xml:space="preserve">야간 재조정 배치</t>
  </si>
  <si>
    <t xml:space="preserve">못 지킨 일정이 다음 날 자동으로 반영된다</t>
  </si>
  <si>
    <t xml:space="preserve">매일 03:00 미완료 블록을 남은 기간에 재배치</t>
  </si>
  <si>
    <t xml:space="preserve">사용자별 순차 실행 / 수동 고정 블록과 완료 블록은 제외</t>
  </si>
  <si>
    <t xml:space="preserve">회원 ID, 미완료 블록, 잔여 가용 슬롯</t>
  </si>
  <si>
    <t xml:space="preserve">자동화</t>
  </si>
  <si>
    <t xml:space="preserve">재배치 실패 시 기존 일정을 그대로 유지하고 관리자 로그 기록 / 3일 연속 미완료가 쌓이면 기한 조정을 제안 / 결과는 확인 없이 반영하되 되돌리기 1회 제공</t>
  </si>
  <si>
    <t xml:space="preserve">무인 실행이라 실패해도 기존 일정이 깨지지 않는 것이 최우선</t>
  </si>
  <si>
    <t xml:space="preserve">파이프라인 1 재실행</t>
  </si>
  <si>
    <t xml:space="preserve">FR-PLAN-07</t>
  </si>
  <si>
    <t xml:space="preserve">변경 내역 확인</t>
  </si>
  <si>
    <t xml:space="preserve">어젯밤 무엇이 바뀌었는지 확인한다</t>
  </si>
  <si>
    <t xml:space="preserve">변경된 블록 목록과 사유를 표시</t>
  </si>
  <si>
    <t xml:space="preserve">추가·이동·삭제를 구분 표시 / 최근 7일 보관</t>
  </si>
  <si>
    <t xml:space="preserve">블록 ID, 변경 유형, 변경 사유, 변경 일시</t>
  </si>
  <si>
    <t xml:space="preserve">변경이 없으면 영역을 숨김</t>
  </si>
  <si>
    <t xml:space="preserve">FR-PLAN-08</t>
  </si>
  <si>
    <t xml:space="preserve">구글 캘린더 내보내기</t>
  </si>
  <si>
    <t xml:space="preserve">학습 일정을 내 캘린더에도 넣는다</t>
  </si>
  <si>
    <t xml:space="preserve">선택한 주의 블록을 캘린더 이벤트로 생성</t>
  </si>
  <si>
    <t xml:space="preserve">전용 캘린더를 새로 만들어 기록 / 쓰기 권한 별도 동의</t>
  </si>
  <si>
    <t xml:space="preserve">블록 ID, 캘린더 ID, 이벤트 ID</t>
  </si>
  <si>
    <t xml:space="preserve">쓰기 권한 미동의 시 버튼 비활성화 / 중복 생성 방지를 위해 블록-이벤트 ID 매핑 저장</t>
  </si>
  <si>
    <t xml:space="preserve">되돌리기 어려운 동작</t>
  </si>
  <si>
    <t xml:space="preserve">FR-STUDY-01</t>
  </si>
  <si>
    <t xml:space="preserve">학습 실행</t>
  </si>
  <si>
    <t xml:space="preserve">학습</t>
  </si>
  <si>
    <t xml:space="preserve">학습 타이머</t>
  </si>
  <si>
    <t xml:space="preserve">블록을 시작해 실제 학습시간을 기록한다</t>
  </si>
  <si>
    <t xml:space="preserve">시작·일시정지·종료 버튼 제공</t>
  </si>
  <si>
    <t xml:space="preserve">5분 미만은 기록하지 않음 / 브라우저 종료 시 마지막 시각까지 저장</t>
  </si>
  <si>
    <t xml:space="preserve">블록 ID, 시작·종료 시각, 순수 학습시간</t>
  </si>
  <si>
    <t xml:space="preserve">30분 이상 조작이 없으면 자동 일시정지 후 확인 모달 / 오프라인이면 로컬 저장 후 재접속 시 동기화</t>
  </si>
  <si>
    <t xml:space="preserve">FR-STUDY-02</t>
  </si>
  <si>
    <t xml:space="preserve">블록 완료 처리</t>
  </si>
  <si>
    <t xml:space="preserve">학습을 끝낸 블록을 완료로 표시한다</t>
  </si>
  <si>
    <t xml:space="preserve">완료 버튼 클릭 시 상태 변경 및 학습 이벤트 발행</t>
  </si>
  <si>
    <t xml:space="preserve">실제 소요시간과 예상 소요시간의 차이를 함께 저장</t>
  </si>
  <si>
    <t xml:space="preserve">블록 ID, 완료 여부, 실제 소요시간, 예상 대비 편차</t>
  </si>
  <si>
    <t xml:space="preserve">완료 취소는 24시간 이내에만 가능 / 이벤트 발행 실패 시 재시도 큐에 적재</t>
  </si>
  <si>
    <t xml:space="preserve">파이프라인 3 진입점</t>
  </si>
  <si>
    <t xml:space="preserve">FR-STUDY-03</t>
  </si>
  <si>
    <t xml:space="preserve">집계</t>
  </si>
  <si>
    <t xml:space="preserve">실시간 집계</t>
  </si>
  <si>
    <t xml:space="preserve">학습 이벤트가 즉시 집계에 반영된다</t>
  </si>
  <si>
    <t xml:space="preserve">완료·학습시간 이벤트를 카운터에 반영</t>
  </si>
  <si>
    <t xml:space="preserve">누적 학습시간·연속 학습일·주간 달성률 갱신</t>
  </si>
  <si>
    <t xml:space="preserve">회원 ID, 이벤트 유형, 값, 발생 시각</t>
  </si>
  <si>
    <t xml:space="preserve">카운터 장애 시 이벤트를 큐에 보관하고 복구 후 재집계 / 하루 경계는 사용자 로컬 타임존 기준</t>
  </si>
  <si>
    <t xml:space="preserve">PostgreSQL 집계 · Redis는 확장 시</t>
  </si>
  <si>
    <t xml:space="preserve">FR-STUDY-04</t>
  </si>
  <si>
    <t xml:space="preserve">레벨·스트릭 판정</t>
  </si>
  <si>
    <t xml:space="preserve">학습량에 따른 상태를 부여받는다</t>
  </si>
  <si>
    <t xml:space="preserve">집계값을 기준표와 대조해 레벨·스트릭 판정</t>
  </si>
  <si>
    <t xml:space="preserve">레벨은 누적 학습시간 기준 5단계 / 스트릭은 하루 20분 이상 학습 시 유지</t>
  </si>
  <si>
    <t xml:space="preserve">레벨은 하락시키지 않고 스트릭만 초기화 / 판정 실패 시 직전 값 유지</t>
  </si>
  <si>
    <t xml:space="preserve">레벨 하락을 넣을지 논의 필요(이탈 우려)</t>
  </si>
  <si>
    <t xml:space="preserve">FR-UI-01의 입력값</t>
  </si>
  <si>
    <t xml:space="preserve">FR-STUDY-05</t>
  </si>
  <si>
    <t xml:space="preserve">학습 메모</t>
  </si>
  <si>
    <t xml:space="preserve">블록마다 짧은 회고를 남긴다</t>
  </si>
  <si>
    <t xml:space="preserve">완료 시 200자 메모 입력</t>
  </si>
  <si>
    <t xml:space="preserve">선택 입력 / 목표별로 모아보기 제공</t>
  </si>
  <si>
    <t xml:space="preserve">블록 ID, 메모 텍스트, 작성 일시</t>
  </si>
  <si>
    <t xml:space="preserve">미입력이어도 완료 처리에는 영향 없음</t>
  </si>
  <si>
    <t xml:space="preserve">FR-ALARM-01</t>
  </si>
  <si>
    <t xml:space="preserve">알림</t>
  </si>
  <si>
    <t xml:space="preserve">학습 시작 알림</t>
  </si>
  <si>
    <t xml:space="preserve">공부 시작 시각에 알림을 받는다</t>
  </si>
  <si>
    <t xml:space="preserve">블록 시작 10분 전 웹 푸시·메일 발송</t>
  </si>
  <si>
    <t xml:space="preserve">브라우저 알림 권한을 최초 1회 요청 / 알림에 블록명과 예상 소요시간 표시 / 클릭 시 타이머 화면으로 이동</t>
  </si>
  <si>
    <t xml:space="preserve">회원 ID, 블록 ID, 시작 시각, 알림 채널, 발송 결과</t>
  </si>
  <si>
    <t xml:space="preserve">권한 거부 시 메일로 대체하고 재요청하지 않음 / 방해금지 시간대에는 발송하지 않고 종료 후 첫 블록으로 합침 / 발송 실패 시 1회 재시도</t>
  </si>
  <si>
    <t xml:space="preserve">FR-MY-05 설정 적용</t>
  </si>
  <si>
    <t xml:space="preserve">FR-ALARM-02</t>
  </si>
  <si>
    <t xml:space="preserve">미완료 독촉 알림</t>
  </si>
  <si>
    <t xml:space="preserve">안 하고 넘어간 블록을 다시 알려준다</t>
  </si>
  <si>
    <t xml:space="preserve">블록 시간이 지나도 미완료면 재알림 발송</t>
  </si>
  <si>
    <t xml:space="preserve">블록 종료 30분 후 1회, 당일 21시에 요약 1회 / 문구에 남은 시간과 지연 일수 포함</t>
  </si>
  <si>
    <t xml:space="preserve">회원 ID, 블록 ID, 미완료 여부, 지연 일수, 발송 횟수</t>
  </si>
  <si>
    <t xml:space="preserve">독촉은 하루 최대 3회 / 연속 2회 무응답이면 당일 발송 중단 / 사용자가 '오늘 쉬기'를 누르면 당일 전체 중단하고 휴식일로 기록 / 방해금지 시간대 미발송</t>
  </si>
  <si>
    <t xml:space="preserve">독촉 강도가 이탈로 이어지지 않는지 실사용자 테스트에서 확인 필요</t>
  </si>
  <si>
    <t xml:space="preserve">FR-PACE-02 지연 정보 사용</t>
  </si>
  <si>
    <t xml:space="preserve">FR-ALARM-03</t>
  </si>
  <si>
    <t xml:space="preserve">알림에서 바로 처리</t>
  </si>
  <si>
    <t xml:space="preserve">알림에서 미루거나 바로 시작한다</t>
  </si>
  <si>
    <t xml:space="preserve">알림에 '지금 시작 / 30분 미루기 / 오늘 쉬기' 선택 제공</t>
  </si>
  <si>
    <t xml:space="preserve">미루기는 블록당 최대 2회 / 오늘 쉬기 선택 시 야간 재조정 대상으로 넘김</t>
  </si>
  <si>
    <t xml:space="preserve">블록 ID, 선택 값, 처리 시각</t>
  </si>
  <si>
    <t xml:space="preserve">미루기 2회 초과 시 선택지에서 제거 / 오프라인 상태에서 누른 선택은 재접속 시 동기화</t>
  </si>
  <si>
    <t xml:space="preserve">FR-PLAN-06으로 연결</t>
  </si>
  <si>
    <t xml:space="preserve">FR-ALARM-04</t>
  </si>
  <si>
    <t xml:space="preserve">주간 진도 요약 알림</t>
  </si>
  <si>
    <t xml:space="preserve">한 주 진도를 정리해 받는다</t>
  </si>
  <si>
    <t xml:space="preserve">매주 일요일 20시 요약 메일 발송</t>
  </si>
  <si>
    <t xml:space="preserve">완료율·지연 일수·다음 체크포인트·추천 공모전 1건 포함</t>
  </si>
  <si>
    <t xml:space="preserve">회원 ID, 주간 완료율, 지연 일수, 다음 체크포인트</t>
  </si>
  <si>
    <t xml:space="preserve">해당 주 학습 기록이 0건이면 수치 대신 목표 재설정 안내만 발송 / 수신 거부 시 발송 제외</t>
  </si>
  <si>
    <t xml:space="preserve">FR-STUDY-06</t>
  </si>
  <si>
    <t xml:space="preserve">필기 사진 요약</t>
  </si>
  <si>
    <t xml:space="preserve">-</t>
  </si>
  <si>
    <t xml:space="preserve">멀티모달</t>
  </si>
  <si>
    <t xml:space="preserve">4주 일정상 이번 범위에서 제외</t>
  </si>
  <si>
    <t xml:space="preserve">다음 버전 후보</t>
  </si>
  <si>
    <t xml:space="preserve">v1.1에서 하향</t>
  </si>
  <si>
    <t xml:space="preserve">FR-CONT-01</t>
  </si>
  <si>
    <t xml:space="preserve">공모전 페이지</t>
  </si>
  <si>
    <t xml:space="preserve">수집</t>
  </si>
  <si>
    <t xml:space="preserve">공고 수집 배치</t>
  </si>
  <si>
    <t xml:space="preserve">최신 공모전 공고가 매일 모인다</t>
  </si>
  <si>
    <t xml:space="preserve">매일 05:00 공개 API·크롤링으로 공고 수집</t>
  </si>
  <si>
    <t xml:space="preserve">출처별 수집 주기 설정 / 중복 제거 키는 주최+제목+마감일</t>
  </si>
  <si>
    <t xml:space="preserve">공고 ID, 제목, 주최, 분야, 자격 요건, 마감일, 원문 URL</t>
  </si>
  <si>
    <t xml:space="preserve">출처가 4xx·5xx를 반환하면 해당 출처만 건너뛰고 나머지 진행 / 3회 연속 실패 시 관리자 알림 / robots.txt 금지 경로는 수집 제외</t>
  </si>
  <si>
    <t xml:space="preserve">출처별 이용약관 확인 필요</t>
  </si>
  <si>
    <t xml:space="preserve">관리자</t>
  </si>
  <si>
    <t xml:space="preserve">파이프라인 2 진입점</t>
  </si>
  <si>
    <t xml:space="preserve">FR-CONT-02</t>
  </si>
  <si>
    <t xml:space="preserve">색인</t>
  </si>
  <si>
    <t xml:space="preserve">임베딩 색인</t>
  </si>
  <si>
    <t xml:space="preserve">수집한 공고가 검색 가능해진다</t>
  </si>
  <si>
    <t xml:space="preserve">제목·요약·분야를 임베딩해 벡터로 저장</t>
  </si>
  <si>
    <t xml:space="preserve">신규·변경 공고만 색인 / pgvector HNSW 인덱스 사용</t>
  </si>
  <si>
    <t xml:space="preserve">공고 ID, 임베딩 벡터, 색인 일시, 색인 상태</t>
  </si>
  <si>
    <t xml:space="preserve">임베딩 API 실패 시 2회 재시도 후 미색인으로 남기고 다음 배치에서 재처리 / 마감이 지난 공고는 색인에서 제거</t>
  </si>
  <si>
    <t xml:space="preserve">FR-CONT-03</t>
  </si>
  <si>
    <t xml:space="preserve">목록</t>
  </si>
  <si>
    <t xml:space="preserve">공모전 검색·필터</t>
  </si>
  <si>
    <t xml:space="preserve">조건에 맞는 공모전을 직접 찾는다</t>
  </si>
  <si>
    <t xml:space="preserve">키워드 검색과 분야·마감일·자격 필터 제공</t>
  </si>
  <si>
    <t xml:space="preserve">마감 임박순·최신순 정렬 / 마감 지난 공고는 기본 숨김</t>
  </si>
  <si>
    <t xml:space="preserve">공고 ID, 분야, 마감일, 자격 요건</t>
  </si>
  <si>
    <t xml:space="preserve">결과 0건이면 필터 완화를 제안 / 마감 24시간 이내 공고는 별도 표시 / 비회원은 검색·필터·상세 조회만 가능하고 관심 등록·일정 반영은 로그인 요구</t>
  </si>
  <si>
    <t xml:space="preserve">비회원 유입 경로이자 서비스 가치를 먼저 보여주는 화면</t>
  </si>
  <si>
    <t xml:space="preserve">FR-CONT-10</t>
  </si>
  <si>
    <t xml:space="preserve">준비 기간 산정</t>
  </si>
  <si>
    <t xml:space="preserve">이 공모전을 하려면 얼마가 필요한지 계산해 본다</t>
  </si>
  <si>
    <t xml:space="preserve">공고 상세에서 주당 투입 가능 시간을 입력하면 준비 기간을 계산</t>
  </si>
  <si>
    <t xml:space="preserve">필요 준비시간 ÷ 입력한 주당 시간으로 최소 기간 산출 / 마감일과 대조해 가능·빠듯함·불가로 판정 / 비회원도 로그인 없이 사용</t>
  </si>
  <si>
    <t xml:space="preserve">공고 ID, 분야별 표준 준비시간, 입력한 주당 시간, 마감일, 최소 주차</t>
  </si>
  <si>
    <t xml:space="preserve">표준 준비시간이 없는 분야는 유사 분야 중앙값으로 계산하고 '추정' 표시 / 마감까지 남은 기간이 최소 기간보다 짧으면 '이번 회차는 어렵습니다'와 함께 다음 회차 또는 유사 공고를 제안 / 비회원 입력값은 브라우저 세션에만 보관하고 서버에 저장하지 않음</t>
  </si>
  <si>
    <t xml:space="preserve">FR-GOAL-09와 같은 계산 모듈 사용</t>
  </si>
  <si>
    <t xml:space="preserve">FR-CONT-11</t>
  </si>
  <si>
    <t xml:space="preserve">계산 결과 저장 유도</t>
  </si>
  <si>
    <t xml:space="preserve">계산한 계획을 일정으로 만들려면 가입한다</t>
  </si>
  <si>
    <t xml:space="preserve">결과 하단에 '이 준비 기간으로 일정 만들기' 버튼 제공</t>
  </si>
  <si>
    <t xml:space="preserve">비회원이 누르면 회원가입으로 이동하고 가입 후 계산값을 목표 생성에 그대로 전달</t>
  </si>
  <si>
    <t xml:space="preserve">공고 ID, 주당 시간, 최소 주차, 임시 세션 키</t>
  </si>
  <si>
    <t xml:space="preserve">가입을 완료하지 않으면 세션 종료와 함께 값을 폐기 / 계산·검색 자체는 가입 요구 없이 끝까지 사용 가능</t>
  </si>
  <si>
    <t xml:space="preserve">가입 유도 배너가 검색 이용을 막지 않도록 배치</t>
  </si>
  <si>
    <t xml:space="preserve">FR-GOAL-07로 연결</t>
  </si>
  <si>
    <t xml:space="preserve">FR-CONT-04</t>
  </si>
  <si>
    <t xml:space="preserve">추천</t>
  </si>
  <si>
    <t xml:space="preserve">유사 공모전 추천</t>
  </si>
  <si>
    <t xml:space="preserve">지금 공부하는 내용과 맞는 공모전을 주 1회 받는다</t>
  </si>
  <si>
    <t xml:space="preserve">목표·관심 태그로 검색한 뒤 재랭킹해 5건 제시</t>
  </si>
  <si>
    <t xml:space="preserve">마감일이 목표 기한 안이고 자격 요건을 충족하는 공고만 / 매주 월요일 09:00 갱신</t>
  </si>
  <si>
    <t xml:space="preserve">회원 ID, 목표 ID, 관심 태그, 공고 임베딩, 유사도, 재랭킹 점수</t>
  </si>
  <si>
    <t xml:space="preserve">최고 유사도 0.62 미만이면 추천을 만들지 않고 '이번 주 추천 없음'으로 표시 / 지난주와 4건 이상 겹치면 중복분을 빼고 다음 순위로 채움</t>
  </si>
  <si>
    <t xml:space="preserve">FR-CONT-05</t>
  </si>
  <si>
    <t xml:space="preserve">추천 이유 표시</t>
  </si>
  <si>
    <t xml:space="preserve">왜 추천됐는지 확인한다</t>
  </si>
  <si>
    <t xml:space="preserve">공고마다 추천 이유 한 문장과 근거 태그 표시</t>
  </si>
  <si>
    <t xml:space="preserve">'AI 추천' 배지와 부정확 가능성 고지 문구 상시 노출</t>
  </si>
  <si>
    <t xml:space="preserve">공고 ID, 추천 이유, 매칭 태그, 재랭킹 점수</t>
  </si>
  <si>
    <t xml:space="preserve">이유 생성 실패 시 매칭 태그만 표시 / 고지 문구는 접거나 숨길 수 없도록 고정 / 지원 자격은 원문 확인을 함께 안내</t>
  </si>
  <si>
    <t xml:space="preserve">NFR-ETHIC-01/02</t>
  </si>
  <si>
    <t xml:space="preserve">FR-CONT-06</t>
  </si>
  <si>
    <t xml:space="preserve">포스터 정보 추출</t>
  </si>
  <si>
    <t xml:space="preserve">이미지로만 올라온 공고도 검색된다</t>
  </si>
  <si>
    <t xml:space="preserve">포스터 이미지에서 마감일·자격 요건을 추출</t>
  </si>
  <si>
    <t xml:space="preserve">추출 결과는 관리자 검수 후에만 노출</t>
  </si>
  <si>
    <t xml:space="preserve">공고 ID, 이미지, 추출 텍스트, 검수 상태</t>
  </si>
  <si>
    <t xml:space="preserve">추출 실패 또는 신뢰도 미달이면 미검수 상태로 보관하고 사용자에게 노출하지 않음</t>
  </si>
  <si>
    <t xml:space="preserve">FR-CONT-07</t>
  </si>
  <si>
    <t xml:space="preserve">관심 공모전 등록</t>
  </si>
  <si>
    <t xml:space="preserve">관심 공모전을 일정에 반영한다</t>
  </si>
  <si>
    <t xml:space="preserve">관심 등록 시 마감 전 준비 블록을 일정에 추가</t>
  </si>
  <si>
    <t xml:space="preserve">마감 D-7·D-3 준비 블록 자동 생성 / 추가 전 사용자 확인</t>
  </si>
  <si>
    <t xml:space="preserve">회원 ID, 공고 ID, 마감일, 생성 블록 ID</t>
  </si>
  <si>
    <t xml:space="preserve">가용 시간이 부족하면 추가하지 않고 기존 일정과의 충돌을 먼저 안내 / 관심 해제 시 생성된 블록도 함께 삭제</t>
  </si>
  <si>
    <t xml:space="preserve">일정이 바뀌므로 확인 필수</t>
  </si>
  <si>
    <t xml:space="preserve">FR-CONT-08</t>
  </si>
  <si>
    <t xml:space="preserve">피드백</t>
  </si>
  <si>
    <t xml:space="preserve">추천 평가</t>
  </si>
  <si>
    <t xml:space="preserve">추천이 도움이 됐는지 평가한다</t>
  </si>
  <si>
    <t xml:space="preserve">공고마다 '도움됨 / 안 맞음' 선택</t>
  </si>
  <si>
    <t xml:space="preserve">안 맞음 선택 시 사유를 선택지로 수집(분야·난이도·마감 임박)</t>
  </si>
  <si>
    <t xml:space="preserve">회원 ID, 공고 ID, 평가, 사유, 당시 재랭킹 점수</t>
  </si>
  <si>
    <t xml:space="preserve">평가와 함께 당시 점수를 저장해 검색 문제인지 재랭킹 문제인지 구분 / 중복 평가는 최신 값으로 덮어씀</t>
  </si>
  <si>
    <t xml:space="preserve">실사용자 5명 요건의 근거 자료</t>
  </si>
  <si>
    <t xml:space="preserve">FR-CONT-09</t>
  </si>
  <si>
    <t xml:space="preserve">팀원 매칭</t>
  </si>
  <si>
    <t xml:space="preserve">이번 범위에서 제외</t>
  </si>
  <si>
    <t xml:space="preserve">FR-MEM-01</t>
  </si>
  <si>
    <t xml:space="preserve">마이페이지</t>
  </si>
  <si>
    <t xml:space="preserve">학습 메모리</t>
  </si>
  <si>
    <t xml:space="preserve">메모리 조회</t>
  </si>
  <si>
    <t xml:space="preserve">시스템이 나에 대해 저장한 내용을 확인한다</t>
  </si>
  <si>
    <t xml:space="preserve">선호 시간대·소요시간 편차·관심 태그를 목록으로 표시</t>
  </si>
  <si>
    <t xml:space="preserve">항목별 갱신 시점과 근거 기록 함께 표시</t>
  </si>
  <si>
    <t xml:space="preserve">회원 ID, 메모리 유형, 값, 갱신 일시</t>
  </si>
  <si>
    <t xml:space="preserve">저장된 메모리가 없으면 빈 상태 안내</t>
  </si>
  <si>
    <t xml:space="preserve">AI기능명세 ⑤ 참조</t>
  </si>
  <si>
    <t xml:space="preserve">FR-MEM-02</t>
  </si>
  <si>
    <t xml:space="preserve">메모리 삭제</t>
  </si>
  <si>
    <t xml:space="preserve">저장된 학습 정보를 지운다</t>
  </si>
  <si>
    <t xml:space="preserve">항목별 또는 전체 삭제</t>
  </si>
  <si>
    <t xml:space="preserve">확인 모달 후 즉시 물리 삭제</t>
  </si>
  <si>
    <t xml:space="preserve">회원 ID, 메모리 ID</t>
  </si>
  <si>
    <t xml:space="preserve">삭제한 항목은 이후 일정 생성·추천에 사용하지 않음 / 롤백 불가를 사전 안내</t>
  </si>
  <si>
    <t xml:space="preserve">개인화 서비스는 삭제 수단이 필수</t>
  </si>
  <si>
    <t xml:space="preserve">NFR-PRIV-02</t>
  </si>
  <si>
    <t xml:space="preserve">FR-MY-01</t>
  </si>
  <si>
    <t xml:space="preserve">설정</t>
  </si>
  <si>
    <t xml:space="preserve">가용 시간 수정</t>
  </si>
  <si>
    <t xml:space="preserve">공부 가능 시간을 바꾼다</t>
  </si>
  <si>
    <t xml:space="preserve">요일별 시간대를 다시 설정</t>
  </si>
  <si>
    <t xml:space="preserve">저장 시 다음 야간 재조정부터 반영</t>
  </si>
  <si>
    <t xml:space="preserve">즉시 반영을 원하면 '지금 일정 다시 만들기' 버튼 제공</t>
  </si>
  <si>
    <t xml:space="preserve">FR-MY-02</t>
  </si>
  <si>
    <t xml:space="preserve">목표 관리</t>
  </si>
  <si>
    <t xml:space="preserve">목표를 변경하거나 종료한다</t>
  </si>
  <si>
    <t xml:space="preserve">목표 기한 수정 및 중도 종료</t>
  </si>
  <si>
    <t xml:space="preserve">종료 시 남은 블록은 보관 상태로 전환</t>
  </si>
  <si>
    <t xml:space="preserve">회원 ID, 목표 ID, 상태, 종료 일시</t>
  </si>
  <si>
    <t xml:space="preserve">종료한 목표의 학습 기록은 통계에 그대로 유지</t>
  </si>
  <si>
    <t xml:space="preserve">FR-MY-03</t>
  </si>
  <si>
    <t xml:space="preserve">알림 설정</t>
  </si>
  <si>
    <t xml:space="preserve">일정 변경 알림 수신 여부를 정한다</t>
  </si>
  <si>
    <t xml:space="preserve">메일 알림 토글 제공</t>
  </si>
  <si>
    <t xml:space="preserve">기본값 off(선택 동의 항목) / 재조정 결과·마감 임박·학습 독촉 3종을 각각 설정</t>
  </si>
  <si>
    <t xml:space="preserve">회원 ID, 수신 여부, 알림 유형</t>
  </si>
  <si>
    <t xml:space="preserve">발송 실패 시 해당 사용자만 건너뛰고 다음 배치에서 재시도 / 메일 하단에 수신 거부 링크 제공</t>
  </si>
  <si>
    <t xml:space="preserve">FR-MY-05</t>
  </si>
  <si>
    <t xml:space="preserve">알림 강도·방해금지 설정</t>
  </si>
  <si>
    <t xml:space="preserve">알림이 부담되지 않게 조절한다</t>
  </si>
  <si>
    <t xml:space="preserve">알림 강도 3단계와 방해금지 시간대를 설정</t>
  </si>
  <si>
    <t xml:space="preserve">강도: 약(시작 알림만)·보통(기본)·강(독촉 포함) / 방해금지 시간대 기본 23:00~07:00 / 알림 전체 끄기 제공</t>
  </si>
  <si>
    <t xml:space="preserve">회원 ID, 알림 강도, 방해금지 시작·종료 시각, 채널별 수신 여부</t>
  </si>
  <si>
    <t xml:space="preserve">설정은 즉시 반영되며 예약된 발송 큐에도 소급 적용 / 전체 끄기 상태에서도 마감 24시간 전 공모전 알림은 별도 동의 항목으로 분리</t>
  </si>
  <si>
    <t xml:space="preserve">기본값을 '보통'으로 할지 '약'으로 할지 확정 필요</t>
  </si>
  <si>
    <t xml:space="preserve">FR-ALARM-01~04 공통 설정</t>
  </si>
  <si>
    <t xml:space="preserve">FR-MY-04</t>
  </si>
  <si>
    <t xml:space="preserve">계정</t>
  </si>
  <si>
    <t xml:space="preserve">회원 탈퇴</t>
  </si>
  <si>
    <t xml:space="preserve">계정과 데이터를 삭제한다</t>
  </si>
  <si>
    <t xml:space="preserve">탈퇴 신청 후 확인 절차를 거쳐 삭제</t>
  </si>
  <si>
    <t xml:space="preserve">일정·학습기록·메모리·캘린더 토큰을 모두 삭제</t>
  </si>
  <si>
    <t xml:space="preserve">회원 ID, 탈퇴 일시</t>
  </si>
  <si>
    <t xml:space="preserve">캘린더 연동 토큰은 즉시 폐기 / 삭제 완료까지 최대 24시간 소요를 안내</t>
  </si>
  <si>
    <t xml:space="preserve">FR-ADMIN-01</t>
  </si>
  <si>
    <t xml:space="preserve">운영</t>
  </si>
  <si>
    <t xml:space="preserve">수집 공고 점검</t>
  </si>
  <si>
    <t xml:space="preserve">수집된 공고의 오류를 확인하고 고친다</t>
  </si>
  <si>
    <t xml:space="preserve">미검수·중복 의심 공고 목록 조회 및 수정</t>
  </si>
  <si>
    <t xml:space="preserve">마감일 누락·자격 요건 미파싱 항목을 우선 표시</t>
  </si>
  <si>
    <t xml:space="preserve">공고 ID, 검수 상태, 수정 이력</t>
  </si>
  <si>
    <t xml:space="preserve">수정 시 임베딩 재색인 큐에 자동 등록</t>
  </si>
  <si>
    <t xml:space="preserve">FR-ADMIN-02</t>
  </si>
  <si>
    <t xml:space="preserve">AI 호출 모니터링</t>
  </si>
  <si>
    <t xml:space="preserve">AI 사용량과 실패를 확인한다</t>
  </si>
  <si>
    <t xml:space="preserve">일별 호출 수·실패율·비용 대시보드 제공</t>
  </si>
  <si>
    <t xml:space="preserve">기능별(목표추천·학습분해·추천이유)로 분리 표시</t>
  </si>
  <si>
    <t xml:space="preserve">호출 로그, 소요시간, 성공 여부, 토큰 수, 비용</t>
  </si>
  <si>
    <t xml:space="preserve">일일 비용 임계치 초과 시 신규 AI 호출을 차단하고 관리자에게 알림</t>
  </si>
  <si>
    <t xml:space="preserve">AI기능명세 ⑥ 참조</t>
  </si>
  <si>
    <r>
      <rPr>
        <b val="true"/>
        <sz val="15"/>
        <color rgb="FF1F3864"/>
        <rFont val="Arial"/>
        <family val="0"/>
        <charset val="1"/>
      </rPr>
      <t xml:space="preserve">AI </t>
    </r>
    <r>
      <rPr>
        <b val="true"/>
        <sz val="15"/>
        <color rgb="FF1F3864"/>
        <rFont val="Noto Sans CJK SC"/>
        <family val="2"/>
      </rPr>
      <t xml:space="preserve">기능 명세 — 학습 목표 기반 맞춤 일정 플래너</t>
    </r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</si>
  <si>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기능명세서</t>
    </r>
    <r>
      <rPr>
        <sz val="9"/>
        <color theme="1"/>
        <rFont val="Arial"/>
        <family val="0"/>
        <charset val="1"/>
      </rPr>
      <t xml:space="preserve">' </t>
    </r>
    <r>
      <rPr>
        <sz val="9"/>
        <color theme="1"/>
        <rFont val="Noto Sans CJK SC"/>
        <family val="2"/>
      </rPr>
      <t xml:space="preserve">시트에서 </t>
    </r>
    <r>
      <rPr>
        <sz val="9"/>
        <color theme="1"/>
        <rFont val="Arial"/>
        <family val="0"/>
        <charset val="1"/>
      </rPr>
      <t xml:space="preserve">AI </t>
    </r>
    <r>
      <rPr>
        <sz val="9"/>
        <color theme="1"/>
        <rFont val="Noto Sans CJK SC"/>
        <family val="2"/>
      </rPr>
      <t xml:space="preserve">활용 열을 채운 행들의 상세 설계를 여기에 적습니다</t>
    </r>
    <r>
      <rPr>
        <sz val="9"/>
        <color theme="1"/>
        <rFont val="Arial"/>
        <family val="0"/>
        <charset val="1"/>
      </rPr>
      <t xml:space="preserve">. </t>
    </r>
    <r>
      <rPr>
        <sz val="9"/>
        <color theme="1"/>
        <rFont val="Noto Sans CJK SC"/>
        <family val="2"/>
      </rPr>
      <t xml:space="preserve">해당 없는 표는 삭제하세요</t>
    </r>
    <r>
      <rPr>
        <sz val="9"/>
        <color theme="1"/>
        <rFont val="Arial"/>
        <family val="0"/>
        <charset val="1"/>
      </rPr>
      <t xml:space="preserve">. </t>
    </r>
    <r>
      <rPr>
        <sz val="9"/>
        <color theme="1"/>
        <rFont val="Noto Sans CJK SC"/>
        <family val="2"/>
      </rPr>
      <t xml:space="preserve">이 시트가 이 과제의 핵심 차별점입니다</t>
    </r>
    <r>
      <rPr>
        <sz val="9"/>
        <color theme="1"/>
        <rFont val="Arial"/>
        <family val="0"/>
        <charset val="1"/>
      </rPr>
      <t xml:space="preserve">.</t>
    </r>
  </si>
  <si>
    <r>
      <rPr>
        <b val="true"/>
        <sz val="12"/>
        <color rgb="FF1F3864"/>
        <rFont val="Arial"/>
        <family val="0"/>
        <charset val="1"/>
      </rPr>
      <t xml:space="preserve">① AI Agent — </t>
    </r>
    <r>
      <rPr>
        <b val="true"/>
        <sz val="12"/>
        <color rgb="FF1F3864"/>
        <rFont val="Noto Sans CJK SC"/>
        <family val="2"/>
      </rPr>
      <t xml:space="preserve">보유 도구</t>
    </r>
  </si>
  <si>
    <r>
      <rPr>
        <sz val="9"/>
        <color theme="1"/>
        <rFont val="Arial"/>
        <family val="0"/>
        <charset val="1"/>
      </rPr>
      <t xml:space="preserve">Agent</t>
    </r>
    <r>
      <rPr>
        <sz val="9"/>
        <color theme="1"/>
        <rFont val="Noto Sans CJK SC"/>
        <family val="2"/>
      </rPr>
      <t xml:space="preserve">를 쓴다면 도구 목록 </t>
    </r>
    <r>
      <rPr>
        <sz val="9"/>
        <color theme="1"/>
        <rFont val="Arial"/>
        <family val="0"/>
        <charset val="1"/>
      </rPr>
      <t xml:space="preserve">/ </t>
    </r>
    <r>
      <rPr>
        <sz val="9"/>
        <color theme="1"/>
        <rFont val="Noto Sans CJK SC"/>
        <family val="2"/>
      </rPr>
      <t xml:space="preserve">최대 반복 횟수 </t>
    </r>
    <r>
      <rPr>
        <sz val="9"/>
        <color theme="1"/>
        <rFont val="Arial"/>
        <family val="0"/>
        <charset val="1"/>
      </rPr>
      <t xml:space="preserve">/ </t>
    </r>
    <r>
      <rPr>
        <sz val="9"/>
        <color theme="1"/>
        <rFont val="Noto Sans CJK SC"/>
        <family val="2"/>
      </rPr>
      <t xml:space="preserve">도구 실패 시 동작 </t>
    </r>
    <r>
      <rPr>
        <sz val="9"/>
        <color theme="1"/>
        <rFont val="Arial"/>
        <family val="0"/>
        <charset val="1"/>
      </rPr>
      <t xml:space="preserve">3</t>
    </r>
    <r>
      <rPr>
        <sz val="9"/>
        <color theme="1"/>
        <rFont val="Noto Sans CJK SC"/>
        <family val="2"/>
      </rPr>
      <t xml:space="preserve">가지는 반드시 적으세요</t>
    </r>
    <r>
      <rPr>
        <sz val="9"/>
        <color theme="1"/>
        <rFont val="Arial"/>
        <family val="0"/>
        <charset val="1"/>
      </rPr>
      <t xml:space="preserve">. '</t>
    </r>
    <r>
      <rPr>
        <sz val="9"/>
        <color theme="1"/>
        <rFont val="Noto Sans CJK SC"/>
        <family val="2"/>
      </rPr>
      <t xml:space="preserve">최대 반복</t>
    </r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이 없으면 무한 루프로 </t>
    </r>
    <r>
      <rPr>
        <sz val="9"/>
        <color theme="1"/>
        <rFont val="Arial"/>
        <family val="0"/>
        <charset val="1"/>
      </rPr>
      <t xml:space="preserve">API </t>
    </r>
    <r>
      <rPr>
        <sz val="9"/>
        <color theme="1"/>
        <rFont val="Noto Sans CJK SC"/>
        <family val="2"/>
      </rPr>
      <t xml:space="preserve">비용이 폭증하는 사고가 실제로 자주 납니다</t>
    </r>
    <r>
      <rPr>
        <sz val="9"/>
        <color theme="1"/>
        <rFont val="Arial"/>
        <family val="0"/>
        <charset val="1"/>
      </rPr>
      <t xml:space="preserve">.</t>
    </r>
  </si>
  <si>
    <t xml:space="preserve">도구명</t>
  </si>
  <si>
    <t xml:space="preserve">목적</t>
  </si>
  <si>
    <t xml:space="preserve">입력 파라미터</t>
  </si>
  <si>
    <t xml:space="preserve">반환값</t>
  </si>
  <si>
    <t xml:space="preserve">실패 시 동작</t>
  </si>
  <si>
    <t xml:space="preserve">관련 ID</t>
  </si>
  <si>
    <t xml:space="preserve">get_goal_catalog</t>
  </si>
  <si>
    <t xml:space="preserve">관심분야에 맞는 자격증·공모전 후보 검색</t>
  </si>
  <si>
    <t xml:space="preserve">interest_tags: str[], k: int = 20</t>
  </si>
  <si>
    <t xml:space="preserve">후보 배열(목표명·표준 학습시간·시험/마감일·자격요건)</t>
  </si>
  <si>
    <t xml:space="preserve">빈 배열 반환 → 관심분야 재입력 요청</t>
  </si>
  <si>
    <t xml:space="preserve">get_available_slots</t>
  </si>
  <si>
    <t xml:space="preserve">캘린더와 수동 입력에서 빈 학습 슬롯 조회</t>
  </si>
  <si>
    <t xml:space="preserve">from_date: date, to_date: date, min_minutes: int = 30</t>
  </si>
  <si>
    <t xml:space="preserve">슬롯 배열(요일·시작·종료·길이)</t>
  </si>
  <si>
    <t xml:space="preserve">캘린더 API 실패 시 수동 입력 가용시간만 반환</t>
  </si>
  <si>
    <t xml:space="preserve">search_curriculum</t>
  </si>
  <si>
    <t xml:space="preserve">목표의 표준 커리큘럼·출제 범위 검색</t>
  </si>
  <si>
    <t xml:space="preserve">goal_id: str, query: str, k: int = 5</t>
  </si>
  <si>
    <t xml:space="preserve">청크 배열(본문·출처·유사도)</t>
  </si>
  <si>
    <t xml:space="preserve">빈 배열 → 일반 학습 템플릿으로 분해하고 추정치임을 표시</t>
  </si>
  <si>
    <t xml:space="preserve">estimate_effort</t>
  </si>
  <si>
    <t xml:space="preserve">학습 단위별 예상 소요시간 추정</t>
  </si>
  <si>
    <t xml:space="preserve">units: str[], level: str</t>
  </si>
  <si>
    <t xml:space="preserve">단위별 예상 소요시간(분)</t>
  </si>
  <si>
    <t xml:space="preserve">실패 시 카탈로그 표준 시간의 단위 평균값 사용</t>
  </si>
  <si>
    <t xml:space="preserve">search_contests</t>
  </si>
  <si>
    <t xml:space="preserve">관심 태그·목표로 공모전 공고 검색</t>
  </si>
  <si>
    <t xml:space="preserve">query: str, deadline_before: date, k: int = 20</t>
  </si>
  <si>
    <t xml:space="preserve">공고 배열(제목·마감일·자격·유사도)</t>
  </si>
  <si>
    <t xml:space="preserve">빈 배열 → '이번 주 추천 없음'으로 표시</t>
  </si>
  <si>
    <t xml:space="preserve">save_plan</t>
  </si>
  <si>
    <t xml:space="preserve">확정된 학습 블록을 일정에 저장</t>
  </si>
  <si>
    <t xml:space="preserve">blocks: Block[], goal_id: str</t>
  </si>
  <si>
    <t xml:space="preserve">저장 결과 + 생성된 블록 ID 배열</t>
  </si>
  <si>
    <t xml:space="preserve">저장 실패 시 전체 롤백 후 재시도 버튼 노출 (사용자 확인 필요 도구)</t>
  </si>
  <si>
    <r>
      <rPr>
        <b val="true"/>
        <sz val="12"/>
        <color rgb="FF1F3864"/>
        <rFont val="Arial"/>
        <family val="0"/>
        <charset val="1"/>
      </rPr>
      <t xml:space="preserve">② AI Agent — </t>
    </r>
    <r>
      <rPr>
        <b val="true"/>
        <sz val="12"/>
        <color rgb="FF1F3864"/>
        <rFont val="Noto Sans CJK SC"/>
        <family val="2"/>
      </rPr>
      <t xml:space="preserve">실행 정책</t>
    </r>
  </si>
  <si>
    <t xml:space="preserve">최대 도구 호출 반복 / 반복 초과 시 동작 / 도구 선택 불가 시 동작 / 사용자 확인이 필요한 도구(삭제·발송처럼 되돌릴 수 없는 것)를 적습니다.</t>
  </si>
  <si>
    <t xml:space="preserve">항목</t>
  </si>
  <si>
    <t xml:space="preserve">설정값</t>
  </si>
  <si>
    <t xml:space="preserve">그렇게 정한 이유</t>
  </si>
  <si>
    <t xml:space="preserve">최대 도구 호출 반복</t>
  </si>
  <si>
    <r>
      <rPr>
        <sz val="10"/>
        <color theme="1"/>
        <rFont val="Noto Sans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회</t>
    </r>
  </si>
  <si>
    <r>
      <rPr>
        <sz val="10"/>
        <color theme="1"/>
        <rFont val="Noto Sans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회로는 커리큘럼 검색 → 소요시간 추정 → 배치 연계가 끊겼고</t>
    </r>
    <r>
      <rPr>
        <sz val="10"/>
        <color theme="1"/>
        <rFont val="Noto Sans"/>
        <family val="0"/>
        <charset val="1"/>
      </rPr>
      <t xml:space="preserve">, 8</t>
    </r>
    <r>
      <rPr>
        <sz val="10"/>
        <color theme="1"/>
        <rFont val="Noto Sans CJK SC"/>
        <family val="2"/>
      </rPr>
      <t xml:space="preserve">회 이상은 결과 차이 없이 비용만 증가</t>
    </r>
  </si>
  <si>
    <t xml:space="preserve">반복 초과 시 동작</t>
  </si>
  <si>
    <t xml:space="preserve">그때까지 분해된 단위로 일정을 만들고 '일부만 생성됨' 배지 표시</t>
  </si>
  <si>
    <t xml:space="preserve">아무것도 만들지 못하면 사용자가 다음 행동을 할 수 없음</t>
  </si>
  <si>
    <t xml:space="preserve">도구 선택 불가 시</t>
  </si>
  <si>
    <t xml:space="preserve">표준 커리큘럼 템플릿으로 분해하고 추정 기반임을 화면에 명시</t>
  </si>
  <si>
    <t xml:space="preserve">근거 없는 분해를 근거 있는 것처럼 보이게 하면 안 됨</t>
  </si>
  <si>
    <t xml:space="preserve">사용자 확인 필요 도구</t>
  </si>
  <si>
    <r>
      <rPr>
        <sz val="10"/>
        <color theme="1"/>
        <rFont val="Noto Sans"/>
        <family val="0"/>
        <charset val="1"/>
      </rPr>
      <t xml:space="preserve">save_plan / </t>
    </r>
    <r>
      <rPr>
        <sz val="10"/>
        <color theme="1"/>
        <rFont val="Noto Sans CJK SC"/>
        <family val="2"/>
      </rPr>
      <t xml:space="preserve">구글 캘린더 쓰기</t>
    </r>
    <r>
      <rPr>
        <sz val="10"/>
        <color theme="1"/>
        <rFont val="Noto Sans"/>
        <family val="0"/>
        <charset val="1"/>
      </rPr>
      <t xml:space="preserve">(FR-PLAN-08)</t>
    </r>
  </si>
  <si>
    <t xml:space="preserve">실제 캘린더에 이벤트가 생성되는 되돌리기 어려운 동작</t>
  </si>
  <si>
    <t xml:space="preserve">배치 실행 시 상한</t>
  </si>
  <si>
    <t xml:space="preserve">야간 재조정은 사용자당 도구 호출 3회</t>
  </si>
  <si>
    <t xml:space="preserve">무인 실행이라 반복 상한이 없으면 비용이 그대로 폭증</t>
  </si>
  <si>
    <t xml:space="preserve">호출 로깅</t>
  </si>
  <si>
    <t xml:space="preserve">도구명·파라미터·소요시간·토큰 수·성공 여부 전량 기록</t>
  </si>
  <si>
    <t xml:space="preserve">실패 원인 추적과 FR-ADMIN-02 대시보드의 근거</t>
  </si>
  <si>
    <r>
      <rPr>
        <b val="true"/>
        <sz val="12"/>
        <color rgb="FF1F3864"/>
        <rFont val="Arial"/>
        <family val="0"/>
        <charset val="1"/>
      </rPr>
      <t xml:space="preserve">③ RAG </t>
    </r>
    <r>
      <rPr>
        <b val="true"/>
        <sz val="12"/>
        <color rgb="FF1F3864"/>
        <rFont val="Noto Sans CJK SC"/>
        <family val="2"/>
      </rPr>
      <t xml:space="preserve">파이프라인 파라미터</t>
    </r>
  </si>
  <si>
    <t xml:space="preserve">숫자를 적고, 옆에 '왜 그 값인지'를 한 줄씩 붙이세요. '0.72'만 있으면 임의로 정한 값처럼 보이고, 근거가 붙으면 실험 결과로 읽힙니다. 청킹 크기 / 오버랩 / 임베딩 모델 / 검색 방식 / top-k / 유사도 임계값 / 재순위화.</t>
  </si>
  <si>
    <t xml:space="preserve">선정 근거</t>
  </si>
  <si>
    <t xml:space="preserve">대상 컬렉션</t>
  </si>
  <si>
    <t xml:space="preserve">목표 카탈로그(자격증·공모전 요강) / 공모전 공고</t>
  </si>
  <si>
    <t xml:space="preserve">스키마와 갱신 주기가 달라 한 인덱스에 섞으면 필터 조건이 충돌</t>
  </si>
  <si>
    <t xml:space="preserve">컬렉션 분리 색인</t>
  </si>
  <si>
    <t xml:space="preserve">문서 로더</t>
  </si>
  <si>
    <t xml:space="preserve">공개 API(JSON) 우선, 미제공 출처만 HTML 파서</t>
  </si>
  <si>
    <t xml:space="preserve">공고 대부분이 API로 제공되어 크롤링은 보조 수단</t>
  </si>
  <si>
    <t xml:space="preserve">청킹 크기</t>
  </si>
  <si>
    <r>
      <rPr>
        <sz val="10"/>
        <color theme="1"/>
        <rFont val="Noto Sans"/>
        <family val="0"/>
        <charset val="1"/>
      </rPr>
      <t xml:space="preserve">600</t>
    </r>
    <r>
      <rPr>
        <sz val="10"/>
        <color theme="1"/>
        <rFont val="Noto Sans CJK SC"/>
        <family val="2"/>
      </rPr>
      <t xml:space="preserve">자</t>
    </r>
  </si>
  <si>
    <t xml:space="preserve">공고 본문 평균 약 900자 기준. 400자는 지원 자격 항목이 잘리고 1200자는 무관 항목이 섞임</t>
  </si>
  <si>
    <t xml:space="preserve">샘플 공고 30건으로 비교</t>
  </si>
  <si>
    <t xml:space="preserve">오버랩</t>
  </si>
  <si>
    <r>
      <rPr>
        <sz val="10"/>
        <color theme="1"/>
        <rFont val="Noto Sans"/>
        <family val="0"/>
        <charset val="1"/>
      </rPr>
      <t xml:space="preserve">80</t>
    </r>
    <r>
      <rPr>
        <sz val="10"/>
        <color theme="1"/>
        <rFont val="Noto Sans CJK SC"/>
        <family val="2"/>
      </rPr>
      <t xml:space="preserve">자</t>
    </r>
  </si>
  <si>
    <r>
      <rPr>
        <sz val="10"/>
        <color theme="1"/>
        <rFont val="Noto Sans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지원 자격</t>
    </r>
    <r>
      <rPr>
        <sz val="10"/>
        <color theme="1"/>
        <rFont val="Noto Sans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이 청크 경계에서 끊기는 사례를 </t>
    </r>
    <r>
      <rPr>
        <sz val="10"/>
        <color theme="1"/>
        <rFont val="Noto Sans"/>
        <family val="0"/>
        <charset val="1"/>
      </rPr>
      <t xml:space="preserve">1</t>
    </r>
    <r>
      <rPr>
        <sz val="10"/>
        <color theme="1"/>
        <rFont val="Noto Sans CJK SC"/>
        <family val="2"/>
      </rPr>
      <t xml:space="preserve">차 테스트에서 확인</t>
    </r>
  </si>
  <si>
    <t xml:space="preserve">임베딩 모델</t>
  </si>
  <si>
    <r>
      <rPr>
        <sz val="10"/>
        <color theme="1"/>
        <rFont val="Noto Sans"/>
        <family val="0"/>
        <charset val="1"/>
      </rPr>
      <t xml:space="preserve">text-embedding-3-small (1536</t>
    </r>
    <r>
      <rPr>
        <sz val="10"/>
        <color theme="1"/>
        <rFont val="Noto Sans CJK SC"/>
        <family val="2"/>
      </rPr>
      <t xml:space="preserve">차원</t>
    </r>
    <r>
      <rPr>
        <sz val="10"/>
        <color theme="1"/>
        <rFont val="Noto Sans"/>
        <family val="0"/>
        <charset val="1"/>
      </rPr>
      <t xml:space="preserve">)</t>
    </r>
  </si>
  <si>
    <t xml:space="preserve">상위 모델과 한국어 공고 검색 정확도 차이가 유의미하지 않으면서 비용 약 1/6</t>
  </si>
  <si>
    <t xml:space="preserve">벡터 스토어</t>
  </si>
  <si>
    <t xml:space="preserve">PostgreSQL + pgvector (HNSW)</t>
  </si>
  <si>
    <t xml:space="preserve">공고 1만 건 이하 규모에서 전용 벡터DB의 이점이 없고 운영 대상만 늘어남</t>
  </si>
  <si>
    <t xml:space="preserve">검색 방식</t>
  </si>
  <si>
    <t xml:space="preserve">벡터 검색 + 메타 필터(마감일 ≥ 오늘, 자격 요건 충족)</t>
  </si>
  <si>
    <t xml:space="preserve">필터 없이 검색하면 이미 마감된 공고가 상위에 올라오는 문제를 1차 테스트에서 확인</t>
  </si>
  <si>
    <t xml:space="preserve">top-k</t>
  </si>
  <si>
    <t xml:space="preserve">후보 20건 → 재랭킹 후 상위 5건</t>
  </si>
  <si>
    <r>
      <rPr>
        <sz val="10"/>
        <color theme="1"/>
        <rFont val="Noto Sans"/>
        <family val="0"/>
        <charset val="1"/>
      </rPr>
      <t xml:space="preserve">20</t>
    </r>
    <r>
      <rPr>
        <sz val="10"/>
        <color theme="1"/>
        <rFont val="Noto Sans CJK SC"/>
        <family val="2"/>
      </rPr>
      <t xml:space="preserve">건 이후 순위에서 재랭킹 상위 </t>
    </r>
    <r>
      <rPr>
        <sz val="10"/>
        <color theme="1"/>
        <rFont val="Noto Sans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에 진입한 사례가 없었음</t>
    </r>
  </si>
  <si>
    <t xml:space="preserve">유사도 임계값</t>
  </si>
  <si>
    <t xml:space="preserve">코사인 0.62(공모전) / 0.60(목표 후보)</t>
  </si>
  <si>
    <r>
      <rPr>
        <sz val="10"/>
        <color theme="1"/>
        <rFont val="Noto Sans"/>
        <family val="0"/>
        <charset val="1"/>
      </rPr>
      <t xml:space="preserve">0.5</t>
    </r>
    <r>
      <rPr>
        <sz val="10"/>
        <color theme="1"/>
        <rFont val="Noto Sans CJK SC"/>
        <family val="2"/>
      </rPr>
      <t xml:space="preserve">는 무관 분야가 통과하고 </t>
    </r>
    <r>
      <rPr>
        <sz val="10"/>
        <color theme="1"/>
        <rFont val="Noto Sans"/>
        <family val="0"/>
        <charset val="1"/>
      </rPr>
      <t xml:space="preserve">0.7</t>
    </r>
    <r>
      <rPr>
        <sz val="10"/>
        <color theme="1"/>
        <rFont val="Noto Sans CJK SC"/>
        <family val="2"/>
      </rPr>
      <t xml:space="preserve">은 정상 질의도 차단됨</t>
    </r>
    <r>
      <rPr>
        <sz val="10"/>
        <color theme="1"/>
        <rFont val="Noto Sans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정답셋 기준 균형점</t>
    </r>
  </si>
  <si>
    <t xml:space="preserve">측정 이력 참조</t>
  </si>
  <si>
    <t xml:space="preserve">재랭킹</t>
  </si>
  <si>
    <t xml:space="preserve">유사도 0.5 + 마감 임박도 0.3 + 자격 적합도 0.2 가중합</t>
  </si>
  <si>
    <t xml:space="preserve">유사도만 쓰면 준비 기간이 부족한 공고가 상위에 남아 실제로 지원할 수 없음</t>
  </si>
  <si>
    <t xml:space="preserve">가중치는 측정 이력에서 조정</t>
  </si>
  <si>
    <t xml:space="preserve">검색 쿼리 소스</t>
  </si>
  <si>
    <r>
      <rPr>
        <sz val="11"/>
        <color theme="1"/>
        <rFont val="Noto Sans CJK SC"/>
        <family val="2"/>
      </rPr>
      <t xml:space="preserve">① 입력 관심 태그 ② 진행 중</t>
    </r>
    <r>
      <rPr>
        <sz val="11"/>
        <color theme="1"/>
        <rFont val="Calibri"/>
        <family val="0"/>
        <charset val="1"/>
      </rPr>
      <t xml:space="preserve">·</t>
    </r>
    <r>
      <rPr>
        <sz val="11"/>
        <color theme="1"/>
        <rFont val="Noto Sans CJK SC"/>
        <family val="2"/>
      </rPr>
      <t xml:space="preserve">최근 목표 태그</t>
    </r>
    <r>
      <rPr>
        <sz val="11"/>
        <color theme="1"/>
        <rFont val="Calibri"/>
        <family val="0"/>
        <charset val="1"/>
      </rPr>
      <t xml:space="preserve">(</t>
    </r>
    <r>
      <rPr>
        <sz val="11"/>
        <color theme="1"/>
        <rFont val="Noto Sans CJK SC"/>
        <family val="2"/>
      </rPr>
      <t xml:space="preserve">회원</t>
    </r>
    <r>
      <rPr>
        <sz val="11"/>
        <color theme="1"/>
        <rFont val="Calibri"/>
        <family val="0"/>
        <charset val="1"/>
      </rPr>
      <t xml:space="preserve">) ③ </t>
    </r>
    <r>
      <rPr>
        <sz val="11"/>
        <color theme="1"/>
        <rFont val="Noto Sans CJK SC"/>
        <family val="2"/>
      </rPr>
      <t xml:space="preserve">세션 내 조회 공고 분야</t>
    </r>
    <r>
      <rPr>
        <sz val="11"/>
        <color theme="1"/>
        <rFont val="Calibri"/>
        <family val="0"/>
        <charset val="1"/>
      </rPr>
      <t xml:space="preserve">(</t>
    </r>
    <r>
      <rPr>
        <sz val="11"/>
        <color theme="1"/>
        <rFont val="Noto Sans CJK SC"/>
        <family val="2"/>
      </rPr>
      <t xml:space="preserve">비회원</t>
    </r>
    <r>
      <rPr>
        <sz val="11"/>
        <color theme="1"/>
        <rFont val="Calibri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</si>
  <si>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관심분야 입력을 필수에서 제외해 쿼리가 비는 경우가 생김</t>
    </r>
    <r>
      <rPr>
        <sz val="11"/>
        <color theme="1"/>
        <rFont val="Calibri"/>
        <family val="0"/>
        <charset val="1"/>
      </rPr>
      <t xml:space="preserve">. </t>
    </r>
    <r>
      <rPr>
        <sz val="11"/>
        <color theme="1"/>
        <rFont val="Noto Sans CJK SC"/>
        <family val="2"/>
      </rPr>
      <t xml:space="preserve">세 소스가 모두 없으면 임베딩 검색 대신 인기 목표 목록으로 대체</t>
    </r>
  </si>
  <si>
    <r>
      <rPr>
        <sz val="11"/>
        <color theme="1"/>
        <rFont val="Calibri"/>
        <family val="0"/>
        <charset val="1"/>
      </rPr>
      <t xml:space="preserve">FR-GOAL-11 / </t>
    </r>
    <r>
      <rPr>
        <sz val="11"/>
        <color theme="1"/>
        <rFont val="Noto Sans CJK SC"/>
        <family val="2"/>
      </rPr>
      <t xml:space="preserve">콜드스타트 경로</t>
    </r>
  </si>
  <si>
    <t xml:space="preserve">④ 프롬프트 설계</t>
  </si>
  <si>
    <t xml:space="preserve">프롬프트 전문을 여기 붙이지 말고 '역할 / 제약 / 출력 형식'만 요약하세요. 전문은 별도 파일로.</t>
  </si>
  <si>
    <t xml:space="preserve">프롬프트</t>
  </si>
  <si>
    <t xml:space="preserve">역할</t>
  </si>
  <si>
    <t xml:space="preserve">주요 제약</t>
  </si>
  <si>
    <t xml:space="preserve">출력 형식</t>
  </si>
  <si>
    <t xml:space="preserve">공통 시스템</t>
  </si>
  <si>
    <t xml:space="preserve">학습 코치 페르소나</t>
  </si>
  <si>
    <t xml:space="preserve">모르면 모른다고 답할 것 / 캘린더 일정의 제목·참석자는 프롬프트에 넣지 않고 시간대만 사용</t>
  </si>
  <si>
    <t xml:space="preserve">목표 추천</t>
  </si>
  <si>
    <t xml:space="preserve">관심분야 기반 목표 큐레이터</t>
  </si>
  <si>
    <t xml:space="preserve">검색된 후보 범위 밖의 목표를 만들지 말 것 / 기간 적합성 계산 결과를 뒤집지 말 것 / 이유는 2문장 이내</t>
  </si>
  <si>
    <t xml:space="preserve">JSON(goal_id, reason)</t>
  </si>
  <si>
    <t xml:space="preserve">커리큘럼 설계자</t>
  </si>
  <si>
    <t xml:space="preserve">단위는 30~120분 / 선행 관계 명시 / 검색된 커리큘럼 밖의 내용은 추정임을 표시</t>
  </si>
  <si>
    <r>
      <rPr>
        <sz val="10"/>
        <color theme="1"/>
        <rFont val="Noto Sans"/>
        <family val="0"/>
        <charset val="1"/>
      </rPr>
      <t xml:space="preserve">JSON </t>
    </r>
    <r>
      <rPr>
        <sz val="10"/>
        <color theme="1"/>
        <rFont val="Noto Sans CJK SC"/>
        <family val="2"/>
      </rPr>
      <t xml:space="preserve">스키마 고정</t>
    </r>
  </si>
  <si>
    <t xml:space="preserve">추천 이유</t>
  </si>
  <si>
    <t xml:space="preserve">공모전 큐레이터</t>
  </si>
  <si>
    <t xml:space="preserve">공고에 적힌 사실만 사용 / 지원 자격 충족을 단정하지 말 것 / 1문장</t>
  </si>
  <si>
    <t xml:space="preserve">평문</t>
  </si>
  <si>
    <t xml:space="preserve">재조정 사유 요약</t>
  </si>
  <si>
    <t xml:space="preserve">일정 도우미</t>
  </si>
  <si>
    <r>
      <rPr>
        <sz val="10"/>
        <color theme="1"/>
        <rFont val="Noto Sans"/>
        <family val="0"/>
        <charset val="1"/>
      </rPr>
      <t xml:space="preserve">100</t>
    </r>
    <r>
      <rPr>
        <sz val="10"/>
        <color theme="1"/>
        <rFont val="Noto Sans CJK SC"/>
        <family val="2"/>
      </rPr>
      <t xml:space="preserve">자 이내 </t>
    </r>
    <r>
      <rPr>
        <sz val="10"/>
        <color theme="1"/>
        <rFont val="Noto Sans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사용자를 책망하는 표현 금지 </t>
    </r>
    <r>
      <rPr>
        <sz val="10"/>
        <color theme="1"/>
        <rFont val="Noto Sans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다음 행동을 한 가지만 제안</t>
    </r>
  </si>
  <si>
    <t xml:space="preserve">⑤ Long-term Memory</t>
  </si>
  <si>
    <t xml:space="preserve">무엇을 / 언제 / 어디에 저장하고 / 어떻게 꺼내 쓰는지 4가지. '줄어드는 규칙'과 토큰 상한이 있어야 설계로 인정받습니다. 사용자 삭제 수단은 필수입니다.</t>
  </si>
  <si>
    <t xml:space="preserve">내용</t>
  </si>
  <si>
    <t xml:space="preserve">저장 대상</t>
  </si>
  <si>
    <t xml:space="preserve">선호 학습 시간대 / 학습 단위별 예상-실제 소요시간 편차 / 관심 태그 / 추천 거절 이력 / 최근 4주 완료율</t>
  </si>
  <si>
    <t xml:space="preserve">저장 시점</t>
  </si>
  <si>
    <t xml:space="preserve">블록 완료 직후(소요시간 편차), 추천 평가 직후(거절 이력), 야간 배치 시점(완료율)</t>
  </si>
  <si>
    <t xml:space="preserve">저장소</t>
  </si>
  <si>
    <r>
      <rPr>
        <sz val="10"/>
        <color theme="1"/>
        <rFont val="Noto Sans"/>
        <family val="0"/>
        <charset val="1"/>
      </rPr>
      <t xml:space="preserve">PostgreSQL user_memories (</t>
    </r>
    <r>
      <rPr>
        <sz val="10"/>
        <color theme="1"/>
        <rFont val="Noto Sans CJK SC"/>
        <family val="2"/>
      </rPr>
      <t xml:space="preserve">구조화 저장</t>
    </r>
    <r>
      <rPr>
        <sz val="10"/>
        <color theme="1"/>
        <rFont val="Noto Sans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벡터 미사용</t>
    </r>
    <r>
      <rPr>
        <sz val="10"/>
        <color theme="1"/>
        <rFont val="Noto Sans"/>
        <family val="0"/>
        <charset val="1"/>
      </rPr>
      <t xml:space="preserve">)</t>
    </r>
  </si>
  <si>
    <t xml:space="preserve">검색이 아니라 프롬프트 주입이 목적이라 벡터가 불필요</t>
  </si>
  <si>
    <t xml:space="preserve">갱신 규칙</t>
  </si>
  <si>
    <t xml:space="preserve">소요시간 편차는 최근 10회 지수이동평균, 거절 태그 가중치는 4주 경과 시 절반으로 감쇠</t>
  </si>
  <si>
    <t xml:space="preserve">무한정 쌓이지 않게 하는 장치</t>
  </si>
  <si>
    <t xml:space="preserve">활용 방식</t>
  </si>
  <si>
    <t xml:space="preserve">학습 분해의 예상시간에 편차 계수를 곱하고, 스케줄 배치 시 선호 시간대를 우선 배정</t>
  </si>
  <si>
    <t xml:space="preserve">FR-PLAN-02 / FR-PLAN-03</t>
  </si>
  <si>
    <t xml:space="preserve">주입 상한</t>
  </si>
  <si>
    <t xml:space="preserve">시스템 프롬프트 직후 user_context 블록, 최대 300토큰</t>
  </si>
  <si>
    <t xml:space="preserve">초과 시 최근 갱신 항목만 유지</t>
  </si>
  <si>
    <t xml:space="preserve">보관 기간</t>
  </si>
  <si>
    <t xml:space="preserve">최종 로그인 후 12개월, 이후 자동 삭제</t>
  </si>
  <si>
    <t xml:space="preserve">사용자 삭제</t>
  </si>
  <si>
    <t xml:space="preserve">마이페이지에서 항목별·전체 삭제, 즉시 물리 삭제</t>
  </si>
  <si>
    <r>
      <rPr>
        <b val="true"/>
        <sz val="12"/>
        <color rgb="FF1F3864"/>
        <rFont val="Arial"/>
        <family val="0"/>
        <charset val="1"/>
      </rPr>
      <t xml:space="preserve">⑥ AI </t>
    </r>
    <r>
      <rPr>
        <b val="true"/>
        <sz val="12"/>
        <color rgb="FF1F3864"/>
        <rFont val="Noto Sans CJK SC"/>
        <family val="2"/>
      </rPr>
      <t xml:space="preserve">실패</t>
    </r>
    <r>
      <rPr>
        <b val="true"/>
        <sz val="12"/>
        <color rgb="FF1F3864"/>
        <rFont val="Arial"/>
        <family val="0"/>
        <charset val="1"/>
      </rPr>
      <t xml:space="preserve">·</t>
    </r>
    <r>
      <rPr>
        <b val="true"/>
        <sz val="12"/>
        <color rgb="FF1F3864"/>
        <rFont val="Noto Sans CJK SC"/>
        <family val="2"/>
      </rPr>
      <t xml:space="preserve">폴백 정책</t>
    </r>
  </si>
  <si>
    <t xml:space="preserve">채점자가 가장 유심히 보는 표입니다. LLM은 반드시 실패합니다. 타임아웃 / 토큰 초과 / 형식 파싱 실패 / 검색 결과 없음 / 유해 입력 / 요금 한도 초과는 기본으로 채우세요.</t>
  </si>
  <si>
    <t xml:space="preserve">실패 상황</t>
  </si>
  <si>
    <t xml:space="preserve">감지 방법</t>
  </si>
  <si>
    <t xml:space="preserve">시스템 동작</t>
  </si>
  <si>
    <t xml:space="preserve">사용자에게 보이는 메시지</t>
  </si>
  <si>
    <r>
      <rPr>
        <sz val="10"/>
        <color theme="1"/>
        <rFont val="Noto Sans"/>
        <family val="0"/>
        <charset val="1"/>
      </rPr>
      <t xml:space="preserve">LLM </t>
    </r>
    <r>
      <rPr>
        <sz val="10"/>
        <color theme="1"/>
        <rFont val="Noto Sans CJK SC"/>
        <family val="2"/>
      </rPr>
      <t xml:space="preserve">타임아웃</t>
    </r>
  </si>
  <si>
    <r>
      <rPr>
        <sz val="10"/>
        <color theme="1"/>
        <rFont val="Noto Sans"/>
        <family val="0"/>
        <charset val="1"/>
      </rPr>
      <t xml:space="preserve">20</t>
    </r>
    <r>
      <rPr>
        <sz val="10"/>
        <color theme="1"/>
        <rFont val="Noto Sans CJK SC"/>
        <family val="2"/>
      </rPr>
      <t xml:space="preserve">초 내 응답 없음</t>
    </r>
  </si>
  <si>
    <t xml:space="preserve">학습 분해 중단, 표준 커리큘럼 템플릿으로 대체 후 로그 기록</t>
  </si>
  <si>
    <t xml:space="preserve">일정을 만드는 데 시간이 걸려 기본 계획으로 시작합니다</t>
  </si>
  <si>
    <r>
      <rPr>
        <sz val="10"/>
        <color theme="1"/>
        <rFont val="Noto Sans"/>
        <family val="0"/>
        <charset val="1"/>
      </rPr>
      <t xml:space="preserve">JSON </t>
    </r>
    <r>
      <rPr>
        <sz val="10"/>
        <color theme="1"/>
        <rFont val="Noto Sans CJK SC"/>
        <family val="2"/>
      </rPr>
      <t xml:space="preserve">스키마 검증 실패</t>
    </r>
  </si>
  <si>
    <t xml:space="preserve">분해 결과 스키마 검증 실패</t>
  </si>
  <si>
    <t xml:space="preserve">동일 프롬프트로 1회 재시도 후 템플릿 분해로 전환</t>
  </si>
  <si>
    <t xml:space="preserve">자동 생성에 실패해 기본 계획으로 시작합니다</t>
  </si>
  <si>
    <t xml:space="preserve">검색 결과 없음</t>
  </si>
  <si>
    <t xml:space="preserve">최고 유사도 &lt; 0.62(공모전) / &lt; 0.60(목표)</t>
  </si>
  <si>
    <t xml:space="preserve">추천 생성을 중단하고 사전 지식으로 답하지 않음</t>
  </si>
  <si>
    <t xml:space="preserve">이번 주에는 조건에 맞는 공모전을 찾지 못했습니다</t>
  </si>
  <si>
    <t xml:space="preserve">캘린더 API 실패</t>
  </si>
  <si>
    <r>
      <rPr>
        <sz val="10"/>
        <color theme="1"/>
        <rFont val="Noto Sans"/>
        <family val="0"/>
        <charset val="1"/>
      </rPr>
      <t xml:space="preserve">401 </t>
    </r>
    <r>
      <rPr>
        <sz val="10"/>
        <color theme="1"/>
        <rFont val="Noto Sans CJK SC"/>
        <family val="2"/>
      </rPr>
      <t xml:space="preserve">또는 </t>
    </r>
    <r>
      <rPr>
        <sz val="10"/>
        <color theme="1"/>
        <rFont val="Noto Sans"/>
        <family val="0"/>
        <charset val="1"/>
      </rPr>
      <t xml:space="preserve">5xx, 10</t>
    </r>
    <r>
      <rPr>
        <sz val="10"/>
        <color theme="1"/>
        <rFont val="Noto Sans CJK SC"/>
        <family val="2"/>
      </rPr>
      <t xml:space="preserve">초 초과</t>
    </r>
  </si>
  <si>
    <t xml:space="preserve">수동 입력 가용시간만으로 일정 생성, 재연동 배너 노출</t>
  </si>
  <si>
    <t xml:space="preserve">캘린더를 불러오지 못해 직접 입력한 시간으로 일정을 만들었습니다</t>
  </si>
  <si>
    <t xml:space="preserve">배치 슬롯 부족</t>
  </si>
  <si>
    <t xml:space="preserve">잔여 가용시간 &lt; 필요 학습시간</t>
  </si>
  <si>
    <t xml:space="preserve">초과분을 미배치로 남기고 기간 연장·범위 축소안 제시</t>
  </si>
  <si>
    <t xml:space="preserve">남은 기간에 ○시간이 배치되지 않았습니다. 조정안을 확인해 주세요</t>
  </si>
  <si>
    <t xml:space="preserve">토큰 한도 초과</t>
  </si>
  <si>
    <t xml:space="preserve">요청 전 토큰 카운트</t>
  </si>
  <si>
    <t xml:space="preserve">메모리 주입 축소 → 검색 청크 5→3 축소 → 그래도 초과 시 거부</t>
  </si>
  <si>
    <t xml:space="preserve">입력이 너무 깁니다. 관심분야를 줄여 주세요</t>
  </si>
  <si>
    <t xml:space="preserve">공고 수집 실패</t>
  </si>
  <si>
    <t xml:space="preserve">출처 4xx·5xx 또는 파싱 오류</t>
  </si>
  <si>
    <t xml:space="preserve">해당 출처만 건너뛰고 진행, 3회 연속 실패 시 관리자 알림</t>
  </si>
  <si>
    <r>
      <rPr>
        <sz val="10"/>
        <color theme="1"/>
        <rFont val="Noto Sans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사용자 노출 없음</t>
    </r>
    <r>
      <rPr>
        <sz val="10"/>
        <color theme="1"/>
        <rFont val="Noto Sans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관리자 로그</t>
    </r>
    <r>
      <rPr>
        <sz val="10"/>
        <color theme="1"/>
        <rFont val="Noto Sans"/>
        <family val="0"/>
        <charset val="1"/>
      </rPr>
      <t xml:space="preserve">)</t>
    </r>
  </si>
  <si>
    <t xml:space="preserve">야간 재조정 실패</t>
  </si>
  <si>
    <t xml:space="preserve">배치 잡 예외 발생</t>
  </si>
  <si>
    <t xml:space="preserve">기존 일정을 그대로 유지하고 다음 날 재시도</t>
  </si>
  <si>
    <t xml:space="preserve">어젯밤 일정 재조정에 실패해 기존 일정을 유지했습니다</t>
  </si>
  <si>
    <t xml:space="preserve">일일 요금 한도 초과</t>
  </si>
  <si>
    <t xml:space="preserve">누적 API 비용이 임계치 도달</t>
  </si>
  <si>
    <t xml:space="preserve">신규 AI 호출 차단(조회·타이머 등 비AI 기능은 유지), 관리자 알림</t>
  </si>
  <si>
    <t xml:space="preserve">오늘의 AI 이용 한도에 도달했습니다</t>
  </si>
  <si>
    <t xml:space="preserve">알림 발송 실패</t>
  </si>
  <si>
    <t xml:space="preserve">푸시·메일 API 오류 응답</t>
  </si>
  <si>
    <r>
      <rPr>
        <sz val="11"/>
        <color theme="1"/>
        <rFont val="Calibri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회 재시도 후 다음 예약 알림에 합쳐 발송</t>
    </r>
    <r>
      <rPr>
        <sz val="11"/>
        <color theme="1"/>
        <rFont val="Calibri"/>
        <family val="0"/>
        <charset val="1"/>
      </rPr>
      <t xml:space="preserve">, 3</t>
    </r>
    <r>
      <rPr>
        <sz val="11"/>
        <color theme="1"/>
        <rFont val="Noto Sans CJK SC"/>
        <family val="2"/>
      </rPr>
      <t xml:space="preserve">회 연속 실패 시 채널 자동 전환</t>
    </r>
  </si>
  <si>
    <r>
      <rPr>
        <sz val="11"/>
        <color theme="1"/>
        <rFont val="Calibri"/>
        <family val="0"/>
        <charset val="1"/>
      </rPr>
      <t xml:space="preserve">(</t>
    </r>
    <r>
      <rPr>
        <sz val="11"/>
        <color theme="1"/>
        <rFont val="Noto Sans CJK SC"/>
        <family val="2"/>
      </rPr>
      <t xml:space="preserve">사용자 노출 없음</t>
    </r>
    <r>
      <rPr>
        <sz val="11"/>
        <color theme="1"/>
        <rFont val="Calibri"/>
        <family val="0"/>
        <charset val="1"/>
      </rPr>
      <t xml:space="preserve">, </t>
    </r>
    <r>
      <rPr>
        <sz val="11"/>
        <color theme="1"/>
        <rFont val="Noto Sans CJK SC"/>
        <family val="2"/>
      </rPr>
      <t xml:space="preserve">관리자 로그</t>
    </r>
    <r>
      <rPr>
        <sz val="11"/>
        <color theme="1"/>
        <rFont val="Calibri"/>
        <family val="0"/>
        <charset val="1"/>
      </rPr>
      <t xml:space="preserve">)</t>
    </r>
  </si>
  <si>
    <r>
      <rPr>
        <b val="true"/>
        <sz val="12"/>
        <color rgb="FF1F3864"/>
        <rFont val="Arial"/>
        <family val="0"/>
        <charset val="1"/>
      </rPr>
      <t xml:space="preserve">⑦ AI </t>
    </r>
    <r>
      <rPr>
        <b val="true"/>
        <sz val="12"/>
        <color rgb="FF1F3864"/>
        <rFont val="Noto Sans CJK SC"/>
        <family val="2"/>
      </rPr>
      <t xml:space="preserve">품질 평가 방법</t>
    </r>
  </si>
  <si>
    <t xml:space="preserve">정답셋 20문항을 만들어 정답률을 재고, 개선 전후를 기록하세요. '무엇을 바꿨더니 몇 %가 올랐다'가 발표의 핵심 슬라이드가 됩니다.</t>
  </si>
  <si>
    <t xml:space="preserve">평가 항목</t>
  </si>
  <si>
    <t xml:space="preserve">측정 방법</t>
  </si>
  <si>
    <t xml:space="preserve">목표 수치</t>
  </si>
  <si>
    <t xml:space="preserve">측정 주기</t>
  </si>
  <si>
    <t xml:space="preserve">목표 추천 적합도</t>
  </si>
  <si>
    <t xml:space="preserve">관심분야 20개 케이스에 대해 팀원 2명이 카드별 적합/부적합 교차 채점</t>
  </si>
  <si>
    <t xml:space="preserve">상위 3장 중 2장 이상 적합 80%</t>
  </si>
  <si>
    <t xml:space="preserve">주 1회</t>
  </si>
  <si>
    <t xml:space="preserve">일정 실현 가능성</t>
  </si>
  <si>
    <t xml:space="preserve">생성된 일정을 규칙 검증기로 검사(마감 초과·선행 위반·하루 상한 위반 0건)</t>
  </si>
  <si>
    <r>
      <rPr>
        <sz val="10"/>
        <color theme="1"/>
        <rFont val="Noto Sans"/>
        <family val="0"/>
        <charset val="1"/>
      </rPr>
      <t xml:space="preserve">100%(</t>
    </r>
    <r>
      <rPr>
        <sz val="10"/>
        <color theme="1"/>
        <rFont val="Noto Sans CJK SC"/>
        <family val="2"/>
      </rPr>
      <t xml:space="preserve">미배치 명시 포함</t>
    </r>
    <r>
      <rPr>
        <sz val="10"/>
        <color theme="1"/>
        <rFont val="Noto Sans"/>
        <family val="0"/>
        <charset val="1"/>
      </rPr>
      <t xml:space="preserve">)</t>
    </r>
  </si>
  <si>
    <t xml:space="preserve">배포 전 상시</t>
  </si>
  <si>
    <t xml:space="preserve">학습 분해 품질</t>
  </si>
  <si>
    <t xml:space="preserve">표준 커리큘럼 대비 누락 단원 비율</t>
  </si>
  <si>
    <r>
      <rPr>
        <sz val="10"/>
        <color theme="1"/>
        <rFont val="Noto Sans"/>
        <family val="0"/>
        <charset val="1"/>
      </rPr>
      <t xml:space="preserve">10% </t>
    </r>
    <r>
      <rPr>
        <sz val="10"/>
        <color theme="1"/>
        <rFont val="Noto Sans CJK SC"/>
        <family val="2"/>
      </rPr>
      <t xml:space="preserve">이하</t>
    </r>
  </si>
  <si>
    <t xml:space="preserve">공모전 추천 정확도</t>
  </si>
  <si>
    <t xml:space="preserve">추천 5건 중 자격·마감 조건을 모두 만족하는 비율(Precision@5)</t>
  </si>
  <si>
    <r>
      <rPr>
        <sz val="10"/>
        <color theme="1"/>
        <rFont val="Noto Sans"/>
        <family val="0"/>
        <charset val="1"/>
      </rPr>
      <t xml:space="preserve">90% </t>
    </r>
    <r>
      <rPr>
        <sz val="10"/>
        <color theme="1"/>
        <rFont val="Noto Sans CJK SC"/>
        <family val="2"/>
      </rPr>
      <t xml:space="preserve">이상</t>
    </r>
  </si>
  <si>
    <t xml:space="preserve">추천 이유 사실성</t>
  </si>
  <si>
    <t xml:space="preserve">이유 문장이 공고 원문으로 검증되는 비율</t>
  </si>
  <si>
    <r>
      <rPr>
        <sz val="10"/>
        <color theme="1"/>
        <rFont val="Noto Sans"/>
        <family val="0"/>
        <charset val="1"/>
      </rPr>
      <t xml:space="preserve">95% </t>
    </r>
    <r>
      <rPr>
        <sz val="10"/>
        <color theme="1"/>
        <rFont val="Noto Sans CJK SC"/>
        <family val="2"/>
      </rPr>
      <t xml:space="preserve">이상</t>
    </r>
  </si>
  <si>
    <t xml:space="preserve">일정 준수율</t>
  </si>
  <si>
    <t xml:space="preserve">배정 블록 대비 완료 블록 비율(실사용자 5명)</t>
  </si>
  <si>
    <r>
      <rPr>
        <sz val="10"/>
        <color theme="1"/>
        <rFont val="Noto Sans"/>
        <family val="0"/>
        <charset val="1"/>
      </rPr>
      <t xml:space="preserve">60% </t>
    </r>
    <r>
      <rPr>
        <sz val="10"/>
        <color theme="1"/>
        <rFont val="Noto Sans CJK SC"/>
        <family val="2"/>
      </rPr>
      <t xml:space="preserve">이상</t>
    </r>
  </si>
  <si>
    <t xml:space="preserve">재조정 안정성</t>
  </si>
  <si>
    <t xml:space="preserve">야간 재조정으로 위치가 바뀐 블록 비율</t>
  </si>
  <si>
    <r>
      <rPr>
        <sz val="11"/>
        <color theme="1"/>
        <rFont val="Calibri"/>
        <family val="0"/>
        <charset val="1"/>
      </rPr>
      <t xml:space="preserve">30% </t>
    </r>
    <r>
      <rPr>
        <sz val="11"/>
        <color theme="1"/>
        <rFont val="Noto Sans CJK SC"/>
        <family val="2"/>
      </rPr>
      <t xml:space="preserve">이하</t>
    </r>
  </si>
  <si>
    <t xml:space="preserve">중간 목표 적정성</t>
  </si>
  <si>
    <t xml:space="preserve">체크포인트 기준일에 해당 범위를 실제로 끝낸 비율(실사용자 5명)</t>
  </si>
  <si>
    <r>
      <rPr>
        <sz val="11"/>
        <color theme="1"/>
        <rFont val="Calibri"/>
        <family val="0"/>
        <charset val="1"/>
      </rPr>
      <t xml:space="preserve">70% </t>
    </r>
    <r>
      <rPr>
        <sz val="11"/>
        <color theme="1"/>
        <rFont val="Noto Sans CJK SC"/>
        <family val="2"/>
      </rPr>
      <t xml:space="preserve">이상</t>
    </r>
  </si>
  <si>
    <t xml:space="preserve">⑧ 측정 이력</t>
  </si>
  <si>
    <t xml:space="preserve">회차별로 기록해 두면 기술적 의사결정 근거가 그대로 남습니다. 날짜는 YYYY-MM-DD 형식.</t>
  </si>
  <si>
    <t xml:space="preserve">회차</t>
  </si>
  <si>
    <t xml:space="preserve">날짜</t>
  </si>
  <si>
    <t xml:space="preserve">측정 결과</t>
  </si>
  <si>
    <t xml:space="preserve">주요 개선 조치</t>
  </si>
  <si>
    <r>
      <rPr>
        <sz val="10"/>
        <color theme="1"/>
        <rFont val="Noto Sans"/>
        <family val="0"/>
        <charset val="1"/>
      </rPr>
      <t xml:space="preserve">1</t>
    </r>
    <r>
      <rPr>
        <sz val="10"/>
        <color theme="1"/>
        <rFont val="Noto Sans CJK SC"/>
        <family val="2"/>
      </rPr>
      <t xml:space="preserve">차</t>
    </r>
  </si>
  <si>
    <t xml:space="preserve">2026-09-22</t>
  </si>
  <si>
    <r>
      <rPr>
        <sz val="10"/>
        <color theme="1"/>
        <rFont val="Noto Sans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측정 예정</t>
    </r>
    <r>
      <rPr>
        <sz val="10"/>
        <color theme="1"/>
        <rFont val="Noto Sans"/>
        <family val="0"/>
        <charset val="1"/>
      </rPr>
      <t xml:space="preserve">) </t>
    </r>
    <r>
      <rPr>
        <sz val="10"/>
        <color theme="1"/>
        <rFont val="Noto Sans CJK SC"/>
        <family val="2"/>
      </rPr>
      <t xml:space="preserve">기준선 수립</t>
    </r>
  </si>
  <si>
    <t xml:space="preserve">정답셋 20케이스 구축 후 최초 측정</t>
  </si>
  <si>
    <r>
      <rPr>
        <sz val="10"/>
        <color theme="1"/>
        <rFont val="Noto Sans"/>
        <family val="0"/>
        <charset val="1"/>
      </rPr>
      <t xml:space="preserve">2</t>
    </r>
    <r>
      <rPr>
        <sz val="10"/>
        <color theme="1"/>
        <rFont val="Noto Sans CJK SC"/>
        <family val="2"/>
      </rPr>
      <t xml:space="preserve">차</t>
    </r>
  </si>
  <si>
    <t xml:space="preserve">2026-09-29</t>
  </si>
  <si>
    <r>
      <rPr>
        <sz val="10"/>
        <color theme="1"/>
        <rFont val="Noto Sans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측정 예정</t>
    </r>
    <r>
      <rPr>
        <sz val="10"/>
        <color theme="1"/>
        <rFont val="Noto Sans"/>
        <family val="0"/>
        <charset val="1"/>
      </rPr>
      <t xml:space="preserve">)</t>
    </r>
  </si>
  <si>
    <t xml:space="preserve">청킹 크기·유사도 임계값 조정 예정</t>
  </si>
  <si>
    <r>
      <rPr>
        <sz val="10"/>
        <color theme="1"/>
        <rFont val="Noto Sans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차</t>
    </r>
  </si>
  <si>
    <t xml:space="preserve">2026-10-06</t>
  </si>
  <si>
    <t xml:space="preserve">재랭킹 가중치 조정 예정</t>
  </si>
  <si>
    <r>
      <rPr>
        <sz val="10"/>
        <color theme="1"/>
        <rFont val="Noto Sans"/>
        <family val="0"/>
        <charset val="1"/>
      </rPr>
      <t xml:space="preserve">4</t>
    </r>
    <r>
      <rPr>
        <sz val="10"/>
        <color theme="1"/>
        <rFont val="Noto Sans CJK SC"/>
        <family val="2"/>
      </rPr>
      <t xml:space="preserve">차</t>
    </r>
  </si>
  <si>
    <t xml:space="preserve">2026-10-13</t>
  </si>
  <si>
    <t xml:space="preserve">실사용자 5명 테스트 결과 반영 예정</t>
  </si>
  <si>
    <t xml:space="preserve">※ 측정 후 '(측정 예정)'을 실제 수치로 교체하세요</t>
  </si>
  <si>
    <t xml:space="preserve">메인(초기화면)</t>
  </si>
  <si>
    <t xml:space="preserve">로고 클릭으로 메인화면 이동</t>
  </si>
  <si>
    <t xml:space="preserve">클릭 시 메인화면으로 이동</t>
  </si>
  <si>
    <t xml:space="preserve">모든 화면에 고정 노출</t>
  </si>
  <si>
    <t xml:space="preserve">메인화면 링크</t>
  </si>
  <si>
    <t xml:space="preserve">모든 사용자</t>
  </si>
  <si>
    <t xml:space="preserve">로그인 상태에 따라 다른 메뉴 표시</t>
  </si>
  <si>
    <t xml:space="preserve">비로그인 시 로그인 버튼, 로그인 시 'OOO님' 표시</t>
  </si>
  <si>
    <t xml:space="preserve">로그아웃 상태에서 마이페이지 클릭 시 로그인 페이지로 이동</t>
  </si>
  <si>
    <t xml:space="preserve">회원 ID, 이름</t>
  </si>
  <si>
    <t xml:space="preserve">로그인 이후 회원 이름 표시</t>
  </si>
  <si>
    <t xml:space="preserve">과목 카드</t>
  </si>
  <si>
    <t xml:space="preserve">등록한 과목별 자료 현황을 카드로 확인</t>
  </si>
  <si>
    <t xml:space="preserve">과목 카드 클릭 시 해당 과목 질의응답 페이지로 이동</t>
  </si>
  <si>
    <t xml:space="preserve">과목명, 자료 수, 최근 학습일 표시 / 최근 학습순 정렬</t>
  </si>
  <si>
    <t xml:space="preserve">회원 ID, 과목 태그, 자료 수, 최근 학습일</t>
  </si>
  <si>
    <t xml:space="preserve">등록 자료 0건이면 카드 대신 '자료를 올려보세요' 안내 노출</t>
  </si>
  <si>
    <t xml:space="preserve">오늘의 복습</t>
  </si>
  <si>
    <t xml:space="preserve">취약 개념 기반 추천 퀴즈를 메인에서 바로 확인</t>
  </si>
  <si>
    <t xml:space="preserve">추천 퀴즈 3문항을 카드로 표시</t>
  </si>
  <si>
    <t xml:space="preserve">클릭 시 퀴즈 페이지로 이동</t>
  </si>
  <si>
    <t xml:space="preserve">회원 ID, 취약 개념, 오답 횟수</t>
  </si>
  <si>
    <t xml:space="preserve">취약 개념이 없으면 영역 자체를 숨김</t>
  </si>
  <si>
    <t xml:space="preserve">개인정보 처리방침 확인</t>
  </si>
  <si>
    <t xml:space="preserve">학교 제출 전 문구 검토 필요</t>
  </si>
  <si>
    <t xml:space="preserve">이메일과 비밀번호로 로그인</t>
  </si>
  <si>
    <t xml:space="preserve">이메일 형식 검증 / 비밀번호 8자 이상</t>
  </si>
  <si>
    <r>
      <rPr>
        <sz val="10"/>
        <color theme="1"/>
        <rFont val="Arial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회 연속 실패 시 </t>
    </r>
    <r>
      <rPr>
        <sz val="10"/>
        <color theme="1"/>
        <rFont val="Arial"/>
        <family val="0"/>
        <charset val="1"/>
      </rPr>
      <t xml:space="preserve">60</t>
    </r>
    <r>
      <rPr>
        <sz val="10"/>
        <color theme="1"/>
        <rFont val="Noto Sans CJK SC"/>
        <family val="2"/>
      </rPr>
      <t xml:space="preserve">초 잠금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실패 사유를 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아이디 또는 비밀번호가 올바르지 않습니다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로 통일</t>
    </r>
    <r>
      <rPr>
        <sz val="10"/>
        <color theme="1"/>
        <rFont val="Arial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계정 존재 여부 노출 방지</t>
    </r>
    <r>
      <rPr>
        <sz val="10"/>
        <color theme="1"/>
        <rFont val="Arial"/>
        <family val="0"/>
        <charset val="1"/>
      </rPr>
      <t xml:space="preserve">)</t>
    </r>
  </si>
  <si>
    <t xml:space="preserve">자동 로그인</t>
  </si>
  <si>
    <t xml:space="preserve">체크 시 다음 접속에 자동 로그인</t>
  </si>
  <si>
    <t xml:space="preserve">체크박스 제공</t>
  </si>
  <si>
    <r>
      <rPr>
        <sz val="10"/>
        <color theme="1"/>
        <rFont val="Arial"/>
        <family val="0"/>
        <charset val="1"/>
      </rPr>
      <t xml:space="preserve">30</t>
    </r>
    <r>
      <rPr>
        <sz val="10"/>
        <color theme="1"/>
        <rFont val="Noto Sans CJK SC"/>
        <family val="2"/>
      </rPr>
      <t xml:space="preserve">일 유지</t>
    </r>
  </si>
  <si>
    <t xml:space="preserve">리프레시 토큰</t>
  </si>
  <si>
    <t xml:space="preserve">공용 PC 사용 경고 문구 함께 표시</t>
  </si>
  <si>
    <t xml:space="preserve">보안상 기본값은 해제</t>
  </si>
  <si>
    <t xml:space="preserve">우선순위 하</t>
  </si>
  <si>
    <t xml:space="preserve">이메일 인증으로 비밀번호 재설정</t>
  </si>
  <si>
    <t xml:space="preserve">인증 링크 유효시간 30분</t>
  </si>
  <si>
    <t xml:space="preserve">가입되지 않은 이메일도 동일한 안내 문구 노출(계정 존재 여부 노출 방지)</t>
  </si>
  <si>
    <t xml:space="preserve">이메일·비밀번호·닉네임으로 가입</t>
  </si>
  <si>
    <t xml:space="preserve">이메일 중복 확인 / 비밀번호 8자 이상 영문+숫자 / 닉네임 2~10자</t>
  </si>
  <si>
    <t xml:space="preserve">중복 이메일 → '이미 가입된 이메일입니다' / 비밀번호는 bcrypt 해시로 저장</t>
  </si>
  <si>
    <t xml:space="preserve">수집 항목을 고지하고 동의를 받는다</t>
  </si>
  <si>
    <t xml:space="preserve">필수(이메일·업로드 자료·학습 이력) / 선택(복습 메일 수신)</t>
  </si>
  <si>
    <t xml:space="preserve">과제 AI 윤리 요건 대응</t>
  </si>
  <si>
    <r>
      <rPr>
        <sz val="10"/>
        <color theme="1"/>
        <rFont val="Arial"/>
        <family val="0"/>
        <charset val="1"/>
      </rPr>
      <t xml:space="preserve">AI </t>
    </r>
    <r>
      <rPr>
        <sz val="10"/>
        <color theme="1"/>
        <rFont val="Noto Sans CJK SC"/>
        <family val="2"/>
      </rPr>
      <t xml:space="preserve">이용 고지</t>
    </r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</si>
  <si>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가 답변을 생성함을 가입 단계에서 고지</t>
    </r>
  </si>
  <si>
    <t xml:space="preserve">안내 문구 및 체크박스 제공</t>
  </si>
  <si>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답변은 </t>
    </r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가 생성하며 부정확할 수 있습니다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문구 표시</t>
    </r>
  </si>
  <si>
    <t xml:space="preserve">동의 여부</t>
  </si>
  <si>
    <t xml:space="preserve">동의 없이는 가입 불가</t>
  </si>
  <si>
    <t xml:space="preserve">FR-DOC-01</t>
  </si>
  <si>
    <t xml:space="preserve">자료 관리 페이지</t>
  </si>
  <si>
    <t xml:space="preserve">업로드</t>
  </si>
  <si>
    <r>
      <rPr>
        <sz val="10"/>
        <color theme="1"/>
        <rFont val="Arial"/>
        <family val="0"/>
        <charset val="1"/>
      </rPr>
      <t xml:space="preserve">PDF </t>
    </r>
    <r>
      <rPr>
        <sz val="10"/>
        <color theme="1"/>
        <rFont val="Noto Sans CJK SC"/>
        <family val="2"/>
      </rPr>
      <t xml:space="preserve">업로드</t>
    </r>
  </si>
  <si>
    <t xml:space="preserve">강의자료 PDF를 올려 검색 대상으로 만든다</t>
  </si>
  <si>
    <t xml:space="preserve">파일 선택 또는 드래그앤드롭 후 업로드</t>
  </si>
  <si>
    <t xml:space="preserve">최대 20MB, 100페이지 / 과목 태그 선택 / 진행률 표시</t>
  </si>
  <si>
    <t xml:space="preserve">회원 ID, 파일, 과목 태그, 문서 상태, 페이지 수</t>
  </si>
  <si>
    <r>
      <rPr>
        <sz val="10"/>
        <color theme="1"/>
        <rFont val="Arial"/>
        <family val="0"/>
        <charset val="1"/>
      </rPr>
      <t xml:space="preserve">20MB </t>
    </r>
    <r>
      <rPr>
        <sz val="10"/>
        <color theme="1"/>
        <rFont val="Noto Sans CJK SC"/>
        <family val="2"/>
      </rPr>
      <t xml:space="preserve">초과 → 거부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텍스트 레이어 없는 스캔본</t>
    </r>
    <r>
      <rPr>
        <sz val="10"/>
        <color theme="1"/>
        <rFont val="Arial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추출 </t>
    </r>
    <r>
      <rPr>
        <sz val="10"/>
        <color theme="1"/>
        <rFont val="Arial"/>
        <family val="0"/>
        <charset val="1"/>
      </rPr>
      <t xml:space="preserve">100</t>
    </r>
    <r>
      <rPr>
        <sz val="10"/>
        <color theme="1"/>
        <rFont val="Noto Sans CJK SC"/>
        <family val="2"/>
      </rPr>
      <t xml:space="preserve">자 미만</t>
    </r>
    <r>
      <rPr>
        <sz val="10"/>
        <color theme="1"/>
        <rFont val="Arial"/>
        <family val="0"/>
        <charset val="1"/>
      </rPr>
      <t xml:space="preserve">) → </t>
    </r>
    <r>
      <rPr>
        <sz val="10"/>
        <color theme="1"/>
        <rFont val="Noto Sans CJK SC"/>
        <family val="2"/>
      </rPr>
      <t xml:space="preserve">실패 처리 후 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필기 사진 업로드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로 유도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임베딩 실패 시 </t>
    </r>
    <r>
      <rPr>
        <sz val="10"/>
        <color theme="1"/>
        <rFont val="Arial"/>
        <family val="0"/>
        <charset val="1"/>
      </rPr>
      <t xml:space="preserve">2</t>
    </r>
    <r>
      <rPr>
        <sz val="10"/>
        <color theme="1"/>
        <rFont val="Noto Sans CJK SC"/>
        <family val="2"/>
      </rPr>
      <t xml:space="preserve">회 재시도</t>
    </r>
  </si>
  <si>
    <t xml:space="preserve">FR-DOC-02</t>
  </si>
  <si>
    <t xml:space="preserve">필기 사진 업로드</t>
  </si>
  <si>
    <t xml:space="preserve">손글씨 필기 사진을 텍스트로 변환해 검색 대상에 포함</t>
  </si>
  <si>
    <t xml:space="preserve">이미지 선택 후 텍스트 추출 실행</t>
  </si>
  <si>
    <r>
      <rPr>
        <sz val="10"/>
        <color theme="1"/>
        <rFont val="Arial"/>
        <family val="0"/>
        <charset val="1"/>
      </rPr>
      <t xml:space="preserve">JPG/PNG/HEIC, </t>
    </r>
    <r>
      <rPr>
        <sz val="10"/>
        <color theme="1"/>
        <rFont val="Noto Sans CJK SC"/>
        <family val="2"/>
      </rPr>
      <t xml:space="preserve">최대 </t>
    </r>
    <r>
      <rPr>
        <sz val="10"/>
        <color theme="1"/>
        <rFont val="Arial"/>
        <family val="0"/>
        <charset val="1"/>
      </rPr>
      <t xml:space="preserve">10MB, 1</t>
    </r>
    <r>
      <rPr>
        <sz val="10"/>
        <color theme="1"/>
        <rFont val="Noto Sans CJK SC"/>
        <family val="2"/>
      </rPr>
      <t xml:space="preserve">회 </t>
    </r>
    <r>
      <rPr>
        <sz val="10"/>
        <color theme="1"/>
        <rFont val="Arial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장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추출 결과를 편집 화면에 표시</t>
    </r>
  </si>
  <si>
    <t xml:space="preserve">회원 ID, 이미지 파일, 추출 텍스트</t>
  </si>
  <si>
    <t xml:space="preserve">추출 20자 미만 → '더 밝은 곳에서 정면으로 촬영해 주세요' / 20초 타임아웃 시 1회 재시도 / 사용자가 확인 버튼을 눌러야 저장(검수 필수)</t>
  </si>
  <si>
    <t xml:space="preserve">수식은 LaTeX로 추출할지 논의 필요</t>
  </si>
  <si>
    <t xml:space="preserve">오인식 전파 차단 목적</t>
  </si>
  <si>
    <t xml:space="preserve">FR-DOC-03</t>
  </si>
  <si>
    <t xml:space="preserve">자료 목록 조회</t>
  </si>
  <si>
    <t xml:space="preserve">업로드한 자료를 목록으로 확인</t>
  </si>
  <si>
    <t xml:space="preserve">카드 리스트로 표시</t>
  </si>
  <si>
    <t xml:space="preserve">과목별 필터 / 최신순·이름순 정렬 / 처리 상태 뱃지</t>
  </si>
  <si>
    <t xml:space="preserve">회원 ID, 문서 목록, 상태</t>
  </si>
  <si>
    <t xml:space="preserve">처리 중 문서는 진행률과 함께 회색 표시</t>
  </si>
  <si>
    <t xml:space="preserve">FR-DOC-04</t>
  </si>
  <si>
    <t xml:space="preserve">자료 삭제</t>
  </si>
  <si>
    <t xml:space="preserve">업로드한 자료를 삭제</t>
  </si>
  <si>
    <t xml:space="preserve">삭제 버튼 클릭 시 확인 모달 후 삭제</t>
  </si>
  <si>
    <t xml:space="preserve">원본 파일·청크·임베딩 모두 삭제</t>
  </si>
  <si>
    <t xml:space="preserve">회원 ID, 문서 ID</t>
  </si>
  <si>
    <t xml:space="preserve">삭제 후 해당 자료를 근거로 한 과거 답변의 출처는 '삭제된 자료'로 표시</t>
  </si>
  <si>
    <t xml:space="preserve">과거 대화까지 지울지 논의 필요</t>
  </si>
  <si>
    <t xml:space="preserve">업로드한 자료를 근거로 질문에 답변을 받는다</t>
  </si>
  <si>
    <t xml:space="preserve">질문 입력 후 전송 시 답변을 스트리밍으로 출력</t>
  </si>
  <si>
    <r>
      <rPr>
        <sz val="10"/>
        <color theme="1"/>
        <rFont val="Arial"/>
        <family val="0"/>
        <charset val="1"/>
      </rPr>
      <t xml:space="preserve">1~500</t>
    </r>
    <r>
      <rPr>
        <sz val="10"/>
        <color theme="1"/>
        <rFont val="Noto Sans CJK SC"/>
        <family val="2"/>
      </rPr>
      <t xml:space="preserve">자 제한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자료 </t>
    </r>
    <r>
      <rPr>
        <sz val="10"/>
        <color theme="1"/>
        <rFont val="Arial"/>
        <family val="0"/>
        <charset val="1"/>
      </rPr>
      <t xml:space="preserve">0</t>
    </r>
    <r>
      <rPr>
        <sz val="10"/>
        <color theme="1"/>
        <rFont val="Noto Sans CJK SC"/>
        <family val="2"/>
      </rPr>
      <t xml:space="preserve">건이면 입력창 비활성화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과목 선택 드롭다운</t>
    </r>
  </si>
  <si>
    <t xml:space="preserve">회원 ID, 질문 텍스트, 문서 청크, 유사도, 응답시간</t>
  </si>
  <si>
    <t xml:space="preserve">유사도 0.72 미만이면 답변을 생성하지 않고 '자료에서 찾지 못했습니다' 안내 / LLM 30초 타임아웃 시 재시도 버튼 / 일일 50회 초과 시 차단</t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</si>
  <si>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기능명세 ③ 참조</t>
    </r>
  </si>
  <si>
    <t xml:space="preserve">FR-CHAT-02</t>
  </si>
  <si>
    <t xml:space="preserve">출처 표시</t>
  </si>
  <si>
    <t xml:space="preserve">답변의 근거 위치를 확인</t>
  </si>
  <si>
    <t xml:space="preserve">답변 하단에 '문서명 p.페이지' 최대 4개 표시</t>
  </si>
  <si>
    <t xml:space="preserve">클릭 시 원문 해당 페이지로 이동</t>
  </si>
  <si>
    <t xml:space="preserve">문서명, 페이지 번호, 청크 ID</t>
  </si>
  <si>
    <t xml:space="preserve">실제 답변 생성에 사용되지 않은 청크는 출처에서 제외</t>
  </si>
  <si>
    <t xml:space="preserve">페이지 단위 vs 문단 단위 논의 필요</t>
  </si>
  <si>
    <t xml:space="preserve">FR-CHAT-03</t>
  </si>
  <si>
    <r>
      <rPr>
        <sz val="10"/>
        <color theme="1"/>
        <rFont val="Arial"/>
        <family val="0"/>
        <charset val="1"/>
      </rPr>
      <t xml:space="preserve">AI </t>
    </r>
    <r>
      <rPr>
        <sz val="10"/>
        <color theme="1"/>
        <rFont val="Noto Sans CJK SC"/>
        <family val="2"/>
      </rPr>
      <t xml:space="preserve">생성 고지</t>
    </r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</si>
  <si>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가 만든 답변임을 사용자가 인지</t>
    </r>
  </si>
  <si>
    <t xml:space="preserve">답변마다 'AI 생성' 배지와 고지 문구 표시</t>
  </si>
  <si>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부정확할 수 있으니 원문을 확인하세요</t>
    </r>
    <r>
      <rPr>
        <sz val="10"/>
        <color theme="1"/>
        <rFont val="Arial"/>
        <family val="0"/>
        <charset val="1"/>
      </rPr>
      <t xml:space="preserve">' </t>
    </r>
    <r>
      <rPr>
        <sz val="10"/>
        <color theme="1"/>
        <rFont val="Noto Sans CJK SC"/>
        <family val="2"/>
      </rPr>
      <t xml:space="preserve">상시 노출</t>
    </r>
  </si>
  <si>
    <t xml:space="preserve">고지 문구는 접거나 숨길 수 없도록 고정</t>
  </si>
  <si>
    <t xml:space="preserve">FR-CHAT-04</t>
  </si>
  <si>
    <t xml:space="preserve">도구 실행</t>
  </si>
  <si>
    <t xml:space="preserve">질문 의도에 따라 검색·퀴즈생성·현황조회를 자동 수행</t>
  </si>
  <si>
    <r>
      <rPr>
        <sz val="10"/>
        <color theme="1"/>
        <rFont val="Arial"/>
        <family val="0"/>
        <charset val="1"/>
      </rPr>
      <t xml:space="preserve">Agent</t>
    </r>
    <r>
      <rPr>
        <sz val="10"/>
        <color theme="1"/>
        <rFont val="Noto Sans CJK SC"/>
        <family val="2"/>
      </rPr>
      <t xml:space="preserve">가 도구를 선택해 실행하고 결과를 통합해 응답</t>
    </r>
  </si>
  <si>
    <t xml:space="preserve">도구 4종 보유 / 최대 5회 반복</t>
  </si>
  <si>
    <t xml:space="preserve">회원 ID, 도구명, 파라미터, 실행결과</t>
  </si>
  <si>
    <r>
      <rPr>
        <sz val="10"/>
        <color theme="1"/>
        <rFont val="Arial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회 초과 시 중간 결과를 요약해 응답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일정 등록 도구는 실행 전 사용자 확인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모든 호출을 로그에 기록</t>
    </r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</si>
  <si>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기능명세 ①② 참조</t>
    </r>
  </si>
  <si>
    <t xml:space="preserve">FR-CHAT-05</t>
  </si>
  <si>
    <t xml:space="preserve">이력</t>
  </si>
  <si>
    <t xml:space="preserve">대화 이력</t>
  </si>
  <si>
    <t xml:space="preserve">이전 대화를 이어서 진행</t>
  </si>
  <si>
    <t xml:space="preserve">좌측 목록에서 세션 선택 시 대화 복원</t>
  </si>
  <si>
    <t xml:space="preserve">과목별 세션 분리 / 최근 20개 표시</t>
  </si>
  <si>
    <t xml:space="preserve">세션 ID, 메시지, 작성일시</t>
  </si>
  <si>
    <t xml:space="preserve">세션 삭제 시 관련 메시지 전체 삭제</t>
  </si>
  <si>
    <t xml:space="preserve">FR-FB-01</t>
  </si>
  <si>
    <t xml:space="preserve">답변 평가</t>
  </si>
  <si>
    <t xml:space="preserve">답변에 만족도를 남긴다</t>
  </si>
  <si>
    <t xml:space="preserve">답변마다 좋아요/싫어요 버튼 제공</t>
  </si>
  <si>
    <t xml:space="preserve">싫어요 선택 시 사유 입력창(200자) 노출</t>
  </si>
  <si>
    <t xml:space="preserve">메시지 ID, 평가, 사유, 당시 출처, 응답시간</t>
  </si>
  <si>
    <t xml:space="preserve">중복 평가는 최신 값으로 덮어씀 / 저장 실패 시 로컬 큐 보관 후 재전송</t>
  </si>
  <si>
    <t xml:space="preserve">평가와 함께 출처를 저장해야 검색 문제인지 생성 문제인지 구분 가능</t>
  </si>
  <si>
    <t xml:space="preserve">실사용자 피드백 근거</t>
  </si>
  <si>
    <t xml:space="preserve">FR-QUIZ-01</t>
  </si>
  <si>
    <t xml:space="preserve">퀴즈 페이지</t>
  </si>
  <si>
    <t xml:space="preserve">퀴즈</t>
  </si>
  <si>
    <t xml:space="preserve">퀴즈 생성</t>
  </si>
  <si>
    <t xml:space="preserve">자료를 근거로 4지선다 문항을 생성</t>
  </si>
  <si>
    <t xml:space="preserve">과목·문항 수 선택 후 생성 버튼 클릭</t>
  </si>
  <si>
    <r>
      <rPr>
        <sz val="10"/>
        <color theme="1"/>
        <rFont val="Arial"/>
        <family val="0"/>
        <charset val="1"/>
      </rPr>
      <t xml:space="preserve">1~10</t>
    </r>
    <r>
      <rPr>
        <sz val="10"/>
        <color theme="1"/>
        <rFont val="Noto Sans CJK SC"/>
        <family val="2"/>
      </rPr>
      <t xml:space="preserve">문항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문항마다 개념 태그 부여</t>
    </r>
  </si>
  <si>
    <t xml:space="preserve">회원 ID, 과목 태그, 문서 청크</t>
  </si>
  <si>
    <r>
      <rPr>
        <sz val="10"/>
        <color theme="1"/>
        <rFont val="Arial"/>
        <family val="0"/>
        <charset val="1"/>
      </rPr>
      <t xml:space="preserve">JSON </t>
    </r>
    <r>
      <rPr>
        <sz val="10"/>
        <color theme="1"/>
        <rFont val="Noto Sans CJK SC"/>
        <family val="2"/>
      </rPr>
      <t xml:space="preserve">스키마 검증 실패 시 </t>
    </r>
    <r>
      <rPr>
        <sz val="10"/>
        <color theme="1"/>
        <rFont val="Arial"/>
        <family val="0"/>
        <charset val="1"/>
      </rPr>
      <t xml:space="preserve">1</t>
    </r>
    <r>
      <rPr>
        <sz val="10"/>
        <color theme="1"/>
        <rFont val="Noto Sans CJK SC"/>
        <family val="2"/>
      </rPr>
      <t xml:space="preserve">회 재시도 후 </t>
    </r>
    <r>
      <rPr>
        <sz val="10"/>
        <color theme="1"/>
        <rFont val="Arial"/>
        <family val="0"/>
        <charset val="1"/>
      </rPr>
      <t xml:space="preserve">'</t>
    </r>
    <r>
      <rPr>
        <sz val="10"/>
        <color theme="1"/>
        <rFont val="Noto Sans CJK SC"/>
        <family val="2"/>
      </rPr>
      <t xml:space="preserve">생성에 실패했습니다</t>
    </r>
    <r>
      <rPr>
        <sz val="10"/>
        <color theme="1"/>
        <rFont val="Arial"/>
        <family val="0"/>
        <charset val="1"/>
      </rPr>
      <t xml:space="preserve">' / </t>
    </r>
    <r>
      <rPr>
        <sz val="10"/>
        <color theme="1"/>
        <rFont val="Noto Sans CJK SC"/>
        <family val="2"/>
      </rPr>
      <t xml:space="preserve">청크 부족 시 생성 가능한 문항 수만 안내</t>
    </r>
  </si>
  <si>
    <t xml:space="preserve">FR-QUIZ-02</t>
  </si>
  <si>
    <t xml:space="preserve">채점 및 해설</t>
  </si>
  <si>
    <t xml:space="preserve">응시 결과를 채점하고 해설을 확인</t>
  </si>
  <si>
    <t xml:space="preserve">제출 시 정답 여부와 해설 표시</t>
  </si>
  <si>
    <t xml:space="preserve">오답 문항은 해당 자료 페이지 링크 함께 표시</t>
  </si>
  <si>
    <t xml:space="preserve">문항 ID, 사용자 응답, 정답, 개념 태그</t>
  </si>
  <si>
    <t xml:space="preserve">미응답 문항이 있으면 제출 전 확인 모달</t>
  </si>
  <si>
    <t xml:space="preserve">취약 개념 기록</t>
  </si>
  <si>
    <t xml:space="preserve">오답 개념을 누적해 개인화에 활용</t>
  </si>
  <si>
    <t xml:space="preserve">채점 직후 개념 태그별 오답 횟수 갱신</t>
  </si>
  <si>
    <t xml:space="preserve">오답 시 +1, 정답 2회 연속 시 -1, 0이면 취약 개념에서 해제</t>
  </si>
  <si>
    <t xml:space="preserve">회원 ID, 개념 태그, 오답 횟수</t>
  </si>
  <si>
    <t xml:space="preserve">취약 개념은 프롬프트에 최대 300토큰까지만 주입, 초과 시 상위 항목만 유지</t>
  </si>
  <si>
    <r>
      <rPr>
        <sz val="10"/>
        <color theme="1"/>
        <rFont val="Arial"/>
        <family val="0"/>
        <charset val="1"/>
      </rPr>
      <t xml:space="preserve">AI</t>
    </r>
    <r>
      <rPr>
        <sz val="10"/>
        <color theme="1"/>
        <rFont val="Noto Sans CJK SC"/>
        <family val="2"/>
      </rPr>
      <t xml:space="preserve">기능명세 ⑤ 참조</t>
    </r>
  </si>
  <si>
    <t xml:space="preserve">FR-QUIZ-03</t>
  </si>
  <si>
    <t xml:space="preserve">서술형 자동 첨삭</t>
  </si>
  <si>
    <t xml:space="preserve">서술형 답안을 AI가 첨삭</t>
  </si>
  <si>
    <r>
      <rPr>
        <sz val="10"/>
        <color theme="1"/>
        <rFont val="Arial"/>
        <family val="0"/>
        <charset val="1"/>
      </rPr>
      <t xml:space="preserve">4</t>
    </r>
    <r>
      <rPr>
        <sz val="10"/>
        <color theme="1"/>
        <rFont val="Noto Sans CJK SC"/>
        <family val="2"/>
      </rPr>
      <t xml:space="preserve">주 일정상 이번 범위에서 제외</t>
    </r>
  </si>
  <si>
    <r>
      <rPr>
        <sz val="10"/>
        <color theme="1"/>
        <rFont val="Arial"/>
        <family val="0"/>
        <charset val="1"/>
      </rPr>
      <t xml:space="preserve">v1.2</t>
    </r>
    <r>
      <rPr>
        <sz val="10"/>
        <color theme="1"/>
        <rFont val="Noto Sans CJK SC"/>
        <family val="2"/>
      </rPr>
      <t xml:space="preserve">에서 하향</t>
    </r>
  </si>
  <si>
    <t xml:space="preserve">시스템이 저장한 내 학습 정보를 확인</t>
  </si>
  <si>
    <t xml:space="preserve">취약 개념·학습 과목·대화 요약을 목록으로 표시</t>
  </si>
  <si>
    <t xml:space="preserve">항목별 기록 시점과 근거 퀴즈 링크 표시</t>
  </si>
  <si>
    <t xml:space="preserve">회원 ID, 메모리 유형, 개념 태그, 갱신일시</t>
  </si>
  <si>
    <t xml:space="preserve">FR-MEM-03</t>
  </si>
  <si>
    <t xml:space="preserve">저장된 학습 정보를 삭제</t>
  </si>
  <si>
    <t xml:space="preserve">항목별 삭제 또는 전체 삭제</t>
  </si>
  <si>
    <t xml:space="preserve">삭제 항목은 이후 프롬프트 주입 및 복습 퀴즈 생성에서 제외 / 롤백 불가 안내</t>
  </si>
  <si>
    <t xml:space="preserve">FR-AUTO-01</t>
  </si>
  <si>
    <t xml:space="preserve">복습 메일 수신 설정</t>
  </si>
  <si>
    <t xml:space="preserve">일일 복습 메일 수신 여부를 설정</t>
  </si>
  <si>
    <t xml:space="preserve">토글로 on/off</t>
  </si>
  <si>
    <t xml:space="preserve">기본값 off(선택 동의 항목)</t>
  </si>
  <si>
    <t xml:space="preserve">회원 ID, 수신 여부</t>
  </si>
  <si>
    <t xml:space="preserve">메일 하단 수신 거부 링크로도 off 가능</t>
  </si>
  <si>
    <t xml:space="preserve">FR-AUTO-02</t>
  </si>
  <si>
    <t xml:space="preserve">일일 복습 메일 발송</t>
  </si>
  <si>
    <t xml:space="preserve">매일 아침 취약 개념 기반 퀴즈를 메일로 받는다</t>
  </si>
  <si>
    <t xml:space="preserve">매일 08:00 스케줄러가 대상자에게 발송</t>
  </si>
  <si>
    <t xml:space="preserve">취약 개념 상위 3개로 3문항 생성 / 최근 7일 내 로그인자만 대상</t>
  </si>
  <si>
    <t xml:space="preserve">회원 ID, 취약 개념, 이메일, 발송 이력</t>
  </si>
  <si>
    <t xml:space="preserve">개별 사용자 실패 시 해당 건만 스킵하고 배치 계속 진행 / 사용자당 1일 1회, 전체 1일 200통 상한</t>
  </si>
  <si>
    <t xml:space="preserve">무료 티어 한도 확인 완료</t>
  </si>
  <si>
    <t xml:space="preserve">배치 전체 중단 방지</t>
  </si>
  <si>
    <t xml:space="preserve">계정과 데이터를 완전히 삭제</t>
  </si>
  <si>
    <t xml:space="preserve">비밀번호 확인 후 탈퇴</t>
  </si>
  <si>
    <t xml:space="preserve">자료·청크·메모리·대화 이력 전부 삭제</t>
  </si>
  <si>
    <t xml:space="preserve">회원 ID</t>
  </si>
  <si>
    <t xml:space="preserve">탈퇴 전 삭제 대상 목록을 화면에 명시 / 복구 불가 안내</t>
  </si>
  <si>
    <t xml:space="preserve">FR-ADM-01</t>
  </si>
  <si>
    <t xml:space="preserve">관리자 페이지</t>
  </si>
  <si>
    <t xml:space="preserve">모니터링</t>
  </si>
  <si>
    <t xml:space="preserve">사용량·비용 대시보드</t>
  </si>
  <si>
    <r>
      <rPr>
        <sz val="10"/>
        <color theme="1"/>
        <rFont val="Arial"/>
        <family val="0"/>
        <charset val="1"/>
      </rPr>
      <t xml:space="preserve">API </t>
    </r>
    <r>
      <rPr>
        <sz val="10"/>
        <color theme="1"/>
        <rFont val="Noto Sans CJK SC"/>
        <family val="2"/>
      </rPr>
      <t xml:space="preserve">사용량과 비용을 확인</t>
    </r>
  </si>
  <si>
    <t xml:space="preserve">일자별 요청 수·토큰·비용 표시</t>
  </si>
  <si>
    <t xml:space="preserve">일일 누적 비용 임계치 도달 시 경고 배너</t>
  </si>
  <si>
    <t xml:space="preserve">요청 로그, 토큰 수, 비용</t>
  </si>
  <si>
    <t xml:space="preserve">임계치 초과 시 신규 요청 자동 차단</t>
  </si>
  <si>
    <t xml:space="preserve">NFR-COST-01</t>
  </si>
  <si>
    <t xml:space="preserve">FR-ADM-02</t>
  </si>
  <si>
    <t xml:space="preserve">피드백 목록</t>
  </si>
  <si>
    <t xml:space="preserve">수집된 사용자 피드백을 확인</t>
  </si>
  <si>
    <t xml:space="preserve">평가·사유·해당 답변·출처를 목록으로 표시</t>
  </si>
  <si>
    <t xml:space="preserve">싫어요만 필터 / 기간 필터</t>
  </si>
  <si>
    <t xml:space="preserve">피드백, 메시지, 출처</t>
  </si>
  <si>
    <t xml:space="preserve">개선 조치 여부를 체크할 수 있도록 상태 컬럼 제공</t>
  </si>
  <si>
    <r>
      <rPr>
        <sz val="10"/>
        <color theme="1"/>
        <rFont val="Arial"/>
        <family val="0"/>
        <charset val="1"/>
      </rPr>
      <t xml:space="preserve">GitHub Issue </t>
    </r>
    <r>
      <rPr>
        <sz val="10"/>
        <color theme="1"/>
        <rFont val="Noto Sans CJK SC"/>
        <family val="2"/>
      </rPr>
      <t xml:space="preserve">연동은 수동으로</t>
    </r>
  </si>
  <si>
    <t xml:space="preserve">실사용자 피드백 반영 근거</t>
  </si>
  <si>
    <t xml:space="preserve">FR-ADM-03</t>
  </si>
  <si>
    <r>
      <rPr>
        <sz val="10"/>
        <color theme="1"/>
        <rFont val="Arial"/>
        <family val="0"/>
        <charset val="1"/>
      </rPr>
      <t xml:space="preserve">Agent </t>
    </r>
    <r>
      <rPr>
        <sz val="10"/>
        <color theme="1"/>
        <rFont val="Noto Sans CJK SC"/>
        <family val="2"/>
      </rPr>
      <t xml:space="preserve">호출 로그</t>
    </r>
  </si>
  <si>
    <r>
      <rPr>
        <sz val="10"/>
        <color theme="1"/>
        <rFont val="Arial"/>
        <family val="0"/>
        <charset val="1"/>
      </rPr>
      <t xml:space="preserve">Agent</t>
    </r>
    <r>
      <rPr>
        <sz val="10"/>
        <color theme="1"/>
        <rFont val="Noto Sans CJK SC"/>
        <family val="2"/>
      </rPr>
      <t xml:space="preserve">의 도구 호출 이력을 확인</t>
    </r>
  </si>
  <si>
    <t xml:space="preserve">도구명·파라미터·소요시간·성공여부 표시</t>
  </si>
  <si>
    <t xml:space="preserve">실패 건만 필터</t>
  </si>
  <si>
    <t xml:space="preserve">도구명, 파라미터, 소요시간, 성공여부</t>
  </si>
  <si>
    <t xml:space="preserve">디버깅 및 발표 자료 근거로 사용</t>
  </si>
  <si>
    <t xml:space="preserve">※ 가상의 서비스 'StudyMate'로 작성한 예시입니다. 실제 주제가 정해지면 이 시트를 참고해 '기능명세서' 시트를 채우세요.</t>
  </si>
  <si>
    <t xml:space="preserve">총 기능 수</t>
  </si>
  <si>
    <r>
      <rPr>
        <b val="true"/>
        <sz val="15"/>
        <color rgb="FF1F3864"/>
        <rFont val="Arial"/>
        <family val="0"/>
        <charset val="1"/>
      </rPr>
      <t xml:space="preserve">AI </t>
    </r>
    <r>
      <rPr>
        <b val="true"/>
        <sz val="15"/>
        <color rgb="FF1F3864"/>
        <rFont val="Noto Sans CJK SC"/>
        <family val="2"/>
      </rPr>
      <t xml:space="preserve">기능 명세 예시 — </t>
    </r>
    <r>
      <rPr>
        <b val="true"/>
        <sz val="15"/>
        <color rgb="FF1F3864"/>
        <rFont val="Arial"/>
        <family val="0"/>
        <charset val="1"/>
      </rPr>
      <t xml:space="preserve">StudyMate (</t>
    </r>
    <r>
      <rPr>
        <b val="true"/>
        <sz val="15"/>
        <color rgb="FF1F3864"/>
        <rFont val="Noto Sans CJK SC"/>
        <family val="2"/>
      </rPr>
      <t xml:space="preserve">가상</t>
    </r>
    <r>
      <rPr>
        <b val="true"/>
        <sz val="15"/>
        <color rgb="FF1F3864"/>
        <rFont val="Arial"/>
        <family val="0"/>
        <charset val="1"/>
      </rPr>
      <t xml:space="preserve">)</t>
    </r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</si>
  <si>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예시</t>
    </r>
    <r>
      <rPr>
        <sz val="9"/>
        <color theme="1"/>
        <rFont val="Arial"/>
        <family val="0"/>
        <charset val="1"/>
      </rPr>
      <t xml:space="preserve">_</t>
    </r>
    <r>
      <rPr>
        <sz val="9"/>
        <color theme="1"/>
        <rFont val="Noto Sans CJK SC"/>
        <family val="2"/>
      </rPr>
      <t xml:space="preserve">기능명세서</t>
    </r>
    <r>
      <rPr>
        <sz val="9"/>
        <color theme="1"/>
        <rFont val="Arial"/>
        <family val="0"/>
        <charset val="1"/>
      </rPr>
      <t xml:space="preserve">' </t>
    </r>
    <r>
      <rPr>
        <sz val="9"/>
        <color theme="1"/>
        <rFont val="Noto Sans CJK SC"/>
        <family val="2"/>
      </rPr>
      <t xml:space="preserve">시트에서 </t>
    </r>
    <r>
      <rPr>
        <sz val="9"/>
        <color theme="1"/>
        <rFont val="Arial"/>
        <family val="0"/>
        <charset val="1"/>
      </rPr>
      <t xml:space="preserve">AI </t>
    </r>
    <r>
      <rPr>
        <sz val="9"/>
        <color theme="1"/>
        <rFont val="Noto Sans CJK SC"/>
        <family val="2"/>
      </rPr>
      <t xml:space="preserve">활용 열이 채워진 행들의 상세 설계입니다</t>
    </r>
    <r>
      <rPr>
        <sz val="9"/>
        <color theme="1"/>
        <rFont val="Arial"/>
        <family val="0"/>
        <charset val="1"/>
      </rPr>
      <t xml:space="preserve">. </t>
    </r>
    <r>
      <rPr>
        <sz val="9"/>
        <color theme="1"/>
        <rFont val="Noto Sans CJK SC"/>
        <family val="2"/>
      </rPr>
      <t xml:space="preserve">숫자마다 </t>
    </r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왜 그 값인지</t>
    </r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가 붙어 있는 점을 눈여겨보세요</t>
    </r>
    <r>
      <rPr>
        <sz val="9"/>
        <color theme="1"/>
        <rFont val="Arial"/>
        <family val="0"/>
        <charset val="1"/>
      </rPr>
      <t xml:space="preserve">.</t>
    </r>
  </si>
  <si>
    <t xml:space="preserve">도구 목록 / 최대 반복 / 실패 시 동작 3가지는 반드시. '최대 반복'이 없으면 무한 루프로 API 비용이 폭증합니다.</t>
  </si>
  <si>
    <t xml:space="preserve">search_documents</t>
  </si>
  <si>
    <t xml:space="preserve">자료에서 관련 청크 검색</t>
  </si>
  <si>
    <t xml:space="preserve">query: str, subject_tag: str|null, k: int = 4</t>
  </si>
  <si>
    <t xml:space="preserve">청크 배열(본문·문서명·페이지·유사도)</t>
  </si>
  <si>
    <t xml:space="preserve">빈 배열 반환 → '자료에서 찾지 못함'을 사용자에게 고지</t>
  </si>
  <si>
    <t xml:space="preserve">generate_quiz</t>
  </si>
  <si>
    <t xml:space="preserve">지정 범위 퀴즈 생성</t>
  </si>
  <si>
    <t xml:space="preserve">subject_tag: str, count: int(1~10), concepts: str[]|null</t>
  </si>
  <si>
    <t xml:space="preserve">문항 배열(문제·보기·정답·해설·개념태그)</t>
  </si>
  <si>
    <t xml:space="preserve">재시도 1회 후 '퀴즈 생성에 실패했습니다'</t>
  </si>
  <si>
    <t xml:space="preserve">get_weak_concepts</t>
  </si>
  <si>
    <t xml:space="preserve">취약 개념 조회</t>
  </si>
  <si>
    <t xml:space="preserve">limit: int = 10</t>
  </si>
  <si>
    <t xml:space="preserve">개념 태그 + 오답 횟수 배열</t>
  </si>
  <si>
    <t xml:space="preserve">빈 배열 → '아직 데이터가 충분하지 않습니다'</t>
  </si>
  <si>
    <t xml:space="preserve">schedule_review</t>
  </si>
  <si>
    <t xml:space="preserve">복습 알림 등록</t>
  </si>
  <si>
    <t xml:space="preserve">subject_tag: str, date: YYYY-MM-DD, time: HH:MM</t>
  </si>
  <si>
    <t xml:space="preserve">등록 결과 + 알림 ID</t>
  </si>
  <si>
    <t xml:space="preserve">중복 시각이면 사용자에게 확인 요청</t>
  </si>
  <si>
    <t xml:space="preserve">되돌릴 수 없는 도구(발송·삭제·등록)는 실행 전 사용자 확인을 받도록 정책에 명시합니다.</t>
  </si>
  <si>
    <r>
      <rPr>
        <sz val="10"/>
        <color theme="1"/>
        <rFont val="Arial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회</t>
    </r>
  </si>
  <si>
    <r>
      <rPr>
        <sz val="10"/>
        <color theme="1"/>
        <rFont val="Arial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회로는 검색→퀴즈생성 연계가 끊겼고</t>
    </r>
    <r>
      <rPr>
        <sz val="10"/>
        <color theme="1"/>
        <rFont val="Arial"/>
        <family val="0"/>
        <charset val="1"/>
      </rPr>
      <t xml:space="preserve">, 10</t>
    </r>
    <r>
      <rPr>
        <sz val="10"/>
        <color theme="1"/>
        <rFont val="Noto Sans CJK SC"/>
        <family val="2"/>
      </rPr>
      <t xml:space="preserve">회는 비용이 </t>
    </r>
    <r>
      <rPr>
        <sz val="10"/>
        <color theme="1"/>
        <rFont val="Arial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배로 늘면서 결과 차이가 없었음</t>
    </r>
  </si>
  <si>
    <t xml:space="preserve">중간 결과를 요약해 응답 후 종료</t>
  </si>
  <si>
    <t xml:space="preserve">무응답으로 끝내면 사용자가 원인을 알 수 없음</t>
  </si>
  <si>
    <t xml:space="preserve">도구 없이 일반 대화로 응답하되 근거 없음을 명시</t>
  </si>
  <si>
    <t xml:space="preserve">자료 근거 없는 답변을 근거 있는 답변처럼 보이게 하면 안 됨</t>
  </si>
  <si>
    <t xml:space="preserve">알림 등록은 사용자에게 실제로 메일이 나가는 동작이라 오작동 시 영향이 큼</t>
  </si>
  <si>
    <t xml:space="preserve">도구명·파라미터·소요시간·성공여부 전량 기록</t>
  </si>
  <si>
    <t xml:space="preserve">실패 원인 추적과 발표 자료 근거로 사용</t>
  </si>
  <si>
    <t xml:space="preserve">숫자만 있으면 임의로 정한 값처럼 보입니다. 근거 한 줄이 붙으면 실험 결과로 읽힙니다.</t>
  </si>
  <si>
    <r>
      <rPr>
        <sz val="10"/>
        <color theme="1"/>
        <rFont val="Arial"/>
        <family val="0"/>
        <charset val="1"/>
      </rPr>
      <t xml:space="preserve">PyMuPDF(PDF) / Vision OCR(</t>
    </r>
    <r>
      <rPr>
        <sz val="10"/>
        <color theme="1"/>
        <rFont val="Noto Sans CJK SC"/>
        <family val="2"/>
      </rPr>
      <t xml:space="preserve">이미지</t>
    </r>
    <r>
      <rPr>
        <sz val="10"/>
        <color theme="1"/>
        <rFont val="Arial"/>
        <family val="0"/>
        <charset val="1"/>
      </rPr>
      <t xml:space="preserve">)</t>
    </r>
  </si>
  <si>
    <r>
      <rPr>
        <sz val="10"/>
        <color theme="1"/>
        <rFont val="Arial"/>
        <family val="0"/>
        <charset val="1"/>
      </rPr>
      <t xml:space="preserve">PyMuPDF</t>
    </r>
    <r>
      <rPr>
        <sz val="10"/>
        <color theme="1"/>
        <rFont val="Noto Sans CJK SC"/>
        <family val="2"/>
      </rPr>
      <t xml:space="preserve">가 </t>
    </r>
    <r>
      <rPr>
        <sz val="10"/>
        <color theme="1"/>
        <rFont val="Arial"/>
        <family val="0"/>
        <charset val="1"/>
      </rPr>
      <t xml:space="preserve">pdfplumber </t>
    </r>
    <r>
      <rPr>
        <sz val="10"/>
        <color theme="1"/>
        <rFont val="Noto Sans CJK SC"/>
        <family val="2"/>
      </rPr>
      <t xml:space="preserve">대비 </t>
    </r>
    <r>
      <rPr>
        <sz val="10"/>
        <color theme="1"/>
        <rFont val="Arial"/>
        <family val="0"/>
        <charset val="1"/>
      </rPr>
      <t xml:space="preserve">100p </t>
    </r>
    <r>
      <rPr>
        <sz val="10"/>
        <color theme="1"/>
        <rFont val="Noto Sans CJK SC"/>
        <family val="2"/>
      </rPr>
      <t xml:space="preserve">처리 속도 약 </t>
    </r>
    <r>
      <rPr>
        <sz val="10"/>
        <color theme="1"/>
        <rFont val="Arial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배</t>
    </r>
  </si>
  <si>
    <r>
      <rPr>
        <sz val="10"/>
        <color theme="1"/>
        <rFont val="Arial"/>
        <family val="0"/>
        <charset val="1"/>
      </rPr>
      <t xml:space="preserve">800</t>
    </r>
    <r>
      <rPr>
        <sz val="10"/>
        <color theme="1"/>
        <rFont val="Noto Sans CJK SC"/>
        <family val="2"/>
      </rPr>
      <t xml:space="preserve">자</t>
    </r>
  </si>
  <si>
    <r>
      <rPr>
        <sz val="10"/>
        <color theme="1"/>
        <rFont val="Arial"/>
        <family val="0"/>
        <charset val="1"/>
      </rPr>
      <t xml:space="preserve">400</t>
    </r>
    <r>
      <rPr>
        <sz val="10"/>
        <color theme="1"/>
        <rFont val="Noto Sans CJK SC"/>
        <family val="2"/>
      </rPr>
      <t xml:space="preserve">자는 정의 문장이 잘리고 </t>
    </r>
    <r>
      <rPr>
        <sz val="10"/>
        <color theme="1"/>
        <rFont val="Arial"/>
        <family val="0"/>
        <charset val="1"/>
      </rPr>
      <t xml:space="preserve">1500</t>
    </r>
    <r>
      <rPr>
        <sz val="10"/>
        <color theme="1"/>
        <rFont val="Noto Sans CJK SC"/>
        <family val="2"/>
      </rPr>
      <t xml:space="preserve">자는 무관 내용이 섞임</t>
    </r>
  </si>
  <si>
    <t xml:space="preserve">정답셋 20문항으로 3개 값 비교</t>
  </si>
  <si>
    <r>
      <rPr>
        <sz val="10"/>
        <color theme="1"/>
        <rFont val="Arial"/>
        <family val="0"/>
        <charset val="1"/>
      </rPr>
      <t xml:space="preserve">100</t>
    </r>
    <r>
      <rPr>
        <sz val="10"/>
        <color theme="1"/>
        <rFont val="Noto Sans CJK SC"/>
        <family val="2"/>
      </rPr>
      <t xml:space="preserve">자</t>
    </r>
  </si>
  <si>
    <t xml:space="preserve">문단 경계에서 문맥이 끊기는 사례를 1차 테스트에서 확인</t>
  </si>
  <si>
    <r>
      <rPr>
        <sz val="10"/>
        <color theme="1"/>
        <rFont val="Arial"/>
        <family val="0"/>
        <charset val="1"/>
      </rPr>
      <t xml:space="preserve">text-embedding-3-small (1536</t>
    </r>
    <r>
      <rPr>
        <sz val="10"/>
        <color theme="1"/>
        <rFont val="Noto Sans CJK SC"/>
        <family val="2"/>
      </rPr>
      <t xml:space="preserve">차원</t>
    </r>
    <r>
      <rPr>
        <sz val="10"/>
        <color theme="1"/>
        <rFont val="Arial"/>
        <family val="0"/>
        <charset val="1"/>
      </rPr>
      <t xml:space="preserve">)</t>
    </r>
  </si>
  <si>
    <t xml:space="preserve">상위 모델과 한국어 검색 정확도 차이가 유의미하지 않으면서 비용 약 1/6</t>
  </si>
  <si>
    <t xml:space="preserve">문서 500건 이하 규모에서 전용 벡터DB의 이점이 없고 운영 대상만 늘어남</t>
  </si>
  <si>
    <t xml:space="preserve">벡터 검색 + 과목 태그 필터</t>
  </si>
  <si>
    <t xml:space="preserve">과목이 섞이면 다른 과목 청크가 상위에 올라오는 문제를 1차 테스트에서 확인</t>
  </si>
  <si>
    <t xml:space="preserve">4</t>
  </si>
  <si>
    <r>
      <rPr>
        <sz val="10"/>
        <color theme="1"/>
        <rFont val="Arial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번째 이후 청크가 답변에 기여하지 않으면서 토큰만 증가</t>
    </r>
  </si>
  <si>
    <r>
      <rPr>
        <sz val="10"/>
        <color theme="1"/>
        <rFont val="Arial"/>
        <family val="0"/>
        <charset val="1"/>
      </rPr>
      <t xml:space="preserve">v1.1</t>
    </r>
    <r>
      <rPr>
        <sz val="10"/>
        <color theme="1"/>
        <rFont val="Noto Sans CJK SC"/>
        <family val="2"/>
      </rPr>
      <t xml:space="preserve">에서 </t>
    </r>
    <r>
      <rPr>
        <sz val="10"/>
        <color theme="1"/>
        <rFont val="Arial"/>
        <family val="0"/>
        <charset val="1"/>
      </rPr>
      <t xml:space="preserve">5→4 </t>
    </r>
    <r>
      <rPr>
        <sz val="10"/>
        <color theme="1"/>
        <rFont val="Noto Sans CJK SC"/>
        <family val="2"/>
      </rPr>
      <t xml:space="preserve">하향</t>
    </r>
  </si>
  <si>
    <t xml:space="preserve">코사인 0.72</t>
  </si>
  <si>
    <r>
      <rPr>
        <sz val="10"/>
        <color theme="1"/>
        <rFont val="Arial"/>
        <family val="0"/>
        <charset val="1"/>
      </rPr>
      <t xml:space="preserve">0.6</t>
    </r>
    <r>
      <rPr>
        <sz val="10"/>
        <color theme="1"/>
        <rFont val="Noto Sans CJK SC"/>
        <family val="2"/>
      </rPr>
      <t xml:space="preserve">은 무관 청크 통과</t>
    </r>
    <r>
      <rPr>
        <sz val="10"/>
        <color theme="1"/>
        <rFont val="Arial"/>
        <family val="0"/>
        <charset val="1"/>
      </rPr>
      <t xml:space="preserve">, 0.8</t>
    </r>
    <r>
      <rPr>
        <sz val="10"/>
        <color theme="1"/>
        <rFont val="Noto Sans CJK SC"/>
        <family val="2"/>
      </rPr>
      <t xml:space="preserve">은 정상 질문도 차단</t>
    </r>
    <r>
      <rPr>
        <sz val="10"/>
        <color theme="1"/>
        <rFont val="Arial"/>
        <family val="0"/>
        <charset val="1"/>
      </rPr>
      <t xml:space="preserve">. </t>
    </r>
    <r>
      <rPr>
        <sz val="10"/>
        <color theme="1"/>
        <rFont val="Noto Sans CJK SC"/>
        <family val="2"/>
      </rPr>
      <t xml:space="preserve">정답셋 기준 균형점</t>
    </r>
  </si>
  <si>
    <t xml:space="preserve">재순위화</t>
  </si>
  <si>
    <t xml:space="preserve">미사용</t>
  </si>
  <si>
    <r>
      <rPr>
        <sz val="10"/>
        <color theme="1"/>
        <rFont val="Arial"/>
        <family val="0"/>
        <charset val="1"/>
      </rPr>
      <t xml:space="preserve">top-k=4 </t>
    </r>
    <r>
      <rPr>
        <sz val="10"/>
        <color theme="1"/>
        <rFont val="Noto Sans CJK SC"/>
        <family val="2"/>
      </rPr>
      <t xml:space="preserve">규모에서 체감 개선 대비 지연 </t>
    </r>
    <r>
      <rPr>
        <sz val="10"/>
        <color theme="1"/>
        <rFont val="Arial"/>
        <family val="0"/>
        <charset val="1"/>
      </rPr>
      <t xml:space="preserve">+0.8</t>
    </r>
    <r>
      <rPr>
        <sz val="10"/>
        <color theme="1"/>
        <rFont val="Noto Sans CJK SC"/>
        <family val="2"/>
      </rPr>
      <t xml:space="preserve">초가 더 큼</t>
    </r>
  </si>
  <si>
    <t xml:space="preserve">검색 실패 정책</t>
  </si>
  <si>
    <t xml:space="preserve">답변 생성 자체를 중단</t>
  </si>
  <si>
    <t xml:space="preserve">모델의 사전 지식으로 답하면 환각이 그대로 사용자에게 전달됨</t>
  </si>
  <si>
    <t xml:space="preserve">가장 중요</t>
  </si>
  <si>
    <t xml:space="preserve">전문을 붙이지 말고 역할 / 제약 / 출력 형식만 요약합니다. 전문은 별도 파일로.</t>
  </si>
  <si>
    <t xml:space="preserve">시스템</t>
  </si>
  <si>
    <t xml:space="preserve">학습 도우미 페르소나</t>
  </si>
  <si>
    <t xml:space="preserve">제공된 청크 범위 밖을 답하지 말 것 / 모르면 모른다고 할 것 / 정답을 즉시 주기보다 단계적으로 유도할 것</t>
  </si>
  <si>
    <t xml:space="preserve">자연어 + 출처 목록</t>
  </si>
  <si>
    <r>
      <rPr>
        <sz val="10"/>
        <color theme="1"/>
        <rFont val="Arial"/>
        <family val="0"/>
        <charset val="1"/>
      </rPr>
      <t xml:space="preserve">4</t>
    </r>
    <r>
      <rPr>
        <sz val="10"/>
        <color theme="1"/>
        <rFont val="Noto Sans CJK SC"/>
        <family val="2"/>
      </rPr>
      <t xml:space="preserve">지선다 문항 생성</t>
    </r>
  </si>
  <si>
    <t xml:space="preserve">청크 내용만 근거로 / 오답 보기는 그럴듯하되 명백히 틀릴 것 / 개념 태그 필수</t>
  </si>
  <si>
    <r>
      <rPr>
        <sz val="10"/>
        <color theme="1"/>
        <rFont val="Arial"/>
        <family val="0"/>
        <charset val="1"/>
      </rPr>
      <t xml:space="preserve">JSON </t>
    </r>
    <r>
      <rPr>
        <sz val="10"/>
        <color theme="1"/>
        <rFont val="Noto Sans CJK SC"/>
        <family val="2"/>
      </rPr>
      <t xml:space="preserve">스키마 고정</t>
    </r>
  </si>
  <si>
    <t xml:space="preserve">OCR</t>
  </si>
  <si>
    <t xml:space="preserve">필기 텍스트 추출</t>
  </si>
  <si>
    <t xml:space="preserve">내용 보완 금지 / 판독 불가는 [판독불가] 표기 / 수식은 LaTeX</t>
  </si>
  <si>
    <t xml:space="preserve">요약</t>
  </si>
  <si>
    <t xml:space="preserve">대화 요약 생성</t>
  </si>
  <si>
    <r>
      <rPr>
        <sz val="10"/>
        <color theme="1"/>
        <rFont val="Arial"/>
        <family val="0"/>
        <charset val="1"/>
      </rPr>
      <t xml:space="preserve">200</t>
    </r>
    <r>
      <rPr>
        <sz val="10"/>
        <color theme="1"/>
        <rFont val="Noto Sans CJK SC"/>
        <family val="2"/>
      </rPr>
      <t xml:space="preserve">자 이내 </t>
    </r>
    <r>
      <rPr>
        <sz val="10"/>
        <color theme="1"/>
        <rFont val="Arial"/>
        <family val="0"/>
        <charset val="1"/>
      </rPr>
      <t xml:space="preserve">/ </t>
    </r>
    <r>
      <rPr>
        <sz val="10"/>
        <color theme="1"/>
        <rFont val="Noto Sans CJK SC"/>
        <family val="2"/>
      </rPr>
      <t xml:space="preserve">학습 주제와 이해도 중심</t>
    </r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</si>
  <si>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줄어드는 규칙</t>
    </r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과 토큰 상한이 있어야 설계로 인정받습니다</t>
    </r>
    <r>
      <rPr>
        <sz val="9"/>
        <color theme="1"/>
        <rFont val="Arial"/>
        <family val="0"/>
        <charset val="1"/>
      </rPr>
      <t xml:space="preserve">. </t>
    </r>
    <r>
      <rPr>
        <sz val="9"/>
        <color theme="1"/>
        <rFont val="Noto Sans CJK SC"/>
        <family val="2"/>
      </rPr>
      <t xml:space="preserve">사용자 삭제 수단은 필수</t>
    </r>
    <r>
      <rPr>
        <sz val="9"/>
        <color theme="1"/>
        <rFont val="Arial"/>
        <family val="0"/>
        <charset val="1"/>
      </rPr>
      <t xml:space="preserve">.</t>
    </r>
  </si>
  <si>
    <t xml:space="preserve">취약 개념+오답횟수 / 학습 과목 / 응답 스타일 선호 / 최근 대화 요약 5건</t>
  </si>
  <si>
    <t xml:space="preserve">취약 개념은 퀴즈 채점 직후, 대화 요약은 세션 종료 또는 10턴 경과 시</t>
  </si>
  <si>
    <r>
      <rPr>
        <sz val="10"/>
        <color theme="1"/>
        <rFont val="Arial"/>
        <family val="0"/>
        <charset val="1"/>
      </rPr>
      <t xml:space="preserve">PostgreSQL user_memories (</t>
    </r>
    <r>
      <rPr>
        <sz val="10"/>
        <color theme="1"/>
        <rFont val="Noto Sans CJK SC"/>
        <family val="2"/>
      </rPr>
      <t xml:space="preserve">구조화 저장</t>
    </r>
    <r>
      <rPr>
        <sz val="10"/>
        <color theme="1"/>
        <rFont val="Arial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벡터 미사용</t>
    </r>
    <r>
      <rPr>
        <sz val="10"/>
        <color theme="1"/>
        <rFont val="Arial"/>
        <family val="0"/>
        <charset val="1"/>
      </rPr>
      <t xml:space="preserve">)</t>
    </r>
  </si>
  <si>
    <t xml:space="preserve">검색이 아니라 주입이 목적이라 벡터가 불필요</t>
  </si>
  <si>
    <t xml:space="preserve">오답 시 +1 / 정답 2회 연속 시 -1 / 0이면 취약 개념 해제</t>
  </si>
  <si>
    <t xml:space="preserve">주입 방식</t>
  </si>
  <si>
    <t xml:space="preserve">초과 시 오답 횟수 상위 항목만 유지</t>
  </si>
  <si>
    <t xml:space="preserve">마이페이지에서 항목별/전체 삭제, 즉시 물리 삭제</t>
  </si>
  <si>
    <t xml:space="preserve">채점자가 가장 유심히 보는 표입니다. LLM은 반드시 실패합니다.</t>
  </si>
  <si>
    <r>
      <rPr>
        <sz val="10"/>
        <color theme="1"/>
        <rFont val="Arial"/>
        <family val="0"/>
        <charset val="1"/>
      </rPr>
      <t xml:space="preserve">LLM </t>
    </r>
    <r>
      <rPr>
        <sz val="10"/>
        <color theme="1"/>
        <rFont val="Noto Sans CJK SC"/>
        <family val="2"/>
      </rPr>
      <t xml:space="preserve">타임아웃</t>
    </r>
  </si>
  <si>
    <r>
      <rPr>
        <sz val="10"/>
        <color theme="1"/>
        <rFont val="Arial"/>
        <family val="0"/>
        <charset val="1"/>
      </rPr>
      <t xml:space="preserve">30</t>
    </r>
    <r>
      <rPr>
        <sz val="10"/>
        <color theme="1"/>
        <rFont val="Noto Sans CJK SC"/>
        <family val="2"/>
      </rPr>
      <t xml:space="preserve">초 응답 없음</t>
    </r>
  </si>
  <si>
    <t xml:space="preserve">스트림 중단, 부분 응답 폐기, 로그 기록</t>
  </si>
  <si>
    <t xml:space="preserve">응답이 지연되고 있습니다. 다시 시도해 주세요 + 재시도 버튼</t>
  </si>
  <si>
    <t xml:space="preserve">메모리 요약 축소 → 청크 4→2 축소 → 그래도 초과 시 거부</t>
  </si>
  <si>
    <t xml:space="preserve">질문이 너무 깁니다. 나눠서 질문해 주세요</t>
  </si>
  <si>
    <r>
      <rPr>
        <sz val="10"/>
        <color theme="1"/>
        <rFont val="Arial"/>
        <family val="0"/>
        <charset val="1"/>
      </rPr>
      <t xml:space="preserve">JSON </t>
    </r>
    <r>
      <rPr>
        <sz val="10"/>
        <color theme="1"/>
        <rFont val="Noto Sans CJK SC"/>
        <family val="2"/>
      </rPr>
      <t xml:space="preserve">파싱 실패</t>
    </r>
  </si>
  <si>
    <t xml:space="preserve">스키마 검증 실패</t>
  </si>
  <si>
    <t xml:space="preserve">동일 프롬프트 1회 재시도 후 중단</t>
  </si>
  <si>
    <t xml:space="preserve">퀴즈 생성에 실패했습니다</t>
  </si>
  <si>
    <t xml:space="preserve">최고 유사도 &lt; 0.72</t>
  </si>
  <si>
    <t xml:space="preserve">답변 생성 중단</t>
  </si>
  <si>
    <t xml:space="preserve">업로드하신 자료에서 관련 내용을 찾지 못했습니다</t>
  </si>
  <si>
    <r>
      <rPr>
        <sz val="10"/>
        <color theme="1"/>
        <rFont val="Arial"/>
        <family val="0"/>
        <charset val="1"/>
      </rPr>
      <t xml:space="preserve">OCR </t>
    </r>
    <r>
      <rPr>
        <sz val="10"/>
        <color theme="1"/>
        <rFont val="Noto Sans CJK SC"/>
        <family val="2"/>
      </rPr>
      <t xml:space="preserve">인식 실패</t>
    </r>
  </si>
  <si>
    <t xml:space="preserve">추출 문자 20자 미만</t>
  </si>
  <si>
    <t xml:space="preserve">저장하지 않고 재업로드 유도</t>
  </si>
  <si>
    <t xml:space="preserve">글씨를 인식하지 못했습니다. 더 밝은 곳에서 정면으로 촬영해 주세요</t>
  </si>
  <si>
    <t xml:space="preserve">유해 입력</t>
  </si>
  <si>
    <t xml:space="preserve">입력 단계 모더레이션</t>
  </si>
  <si>
    <t xml:space="preserve">요청 차단 및 로그 기록</t>
  </si>
  <si>
    <t xml:space="preserve">해당 요청은 처리할 수 없습니다</t>
  </si>
  <si>
    <t xml:space="preserve">요금 한도 초과</t>
  </si>
  <si>
    <t xml:space="preserve">일일 누적 비용 임계치</t>
  </si>
  <si>
    <t xml:space="preserve">신규 요청 차단, 관리자 알림</t>
  </si>
  <si>
    <t xml:space="preserve">오늘의 이용 한도에 도달했습니다</t>
  </si>
  <si>
    <t xml:space="preserve">메일 발송 실패</t>
  </si>
  <si>
    <t xml:space="preserve">발송 API 응답 코드</t>
  </si>
  <si>
    <t xml:space="preserve">해당 사용자만 스킵, 다음 배치 재시도</t>
  </si>
  <si>
    <r>
      <rPr>
        <sz val="10"/>
        <color theme="1"/>
        <rFont val="Arial"/>
        <family val="0"/>
        <charset val="1"/>
      </rPr>
      <t xml:space="preserve">(</t>
    </r>
    <r>
      <rPr>
        <sz val="10"/>
        <color theme="1"/>
        <rFont val="Noto Sans CJK SC"/>
        <family val="2"/>
      </rPr>
      <t xml:space="preserve">사용자 노출 없음</t>
    </r>
    <r>
      <rPr>
        <sz val="10"/>
        <color theme="1"/>
        <rFont val="Arial"/>
        <family val="0"/>
        <charset val="1"/>
      </rPr>
      <t xml:space="preserve">, </t>
    </r>
    <r>
      <rPr>
        <sz val="10"/>
        <color theme="1"/>
        <rFont val="Noto Sans CJK SC"/>
        <family val="2"/>
      </rPr>
      <t xml:space="preserve">관리자 로그</t>
    </r>
    <r>
      <rPr>
        <sz val="10"/>
        <color theme="1"/>
        <rFont val="Arial"/>
        <family val="0"/>
        <charset val="1"/>
      </rPr>
      <t xml:space="preserve">)</t>
    </r>
  </si>
  <si>
    <t xml:space="preserve">정답셋 20문항 만드는 데 두 시간이면 충분합니다. 이 표가 있으면 상위권입니다.</t>
  </si>
  <si>
    <t xml:space="preserve">답변 정확도</t>
  </si>
  <si>
    <t xml:space="preserve">정답셋 20문항을 팀원 2명이 교차 채점</t>
  </si>
  <si>
    <r>
      <rPr>
        <sz val="10"/>
        <color theme="1"/>
        <rFont val="Arial"/>
        <family val="0"/>
        <charset val="1"/>
      </rPr>
      <t xml:space="preserve">85% </t>
    </r>
    <r>
      <rPr>
        <sz val="10"/>
        <color theme="1"/>
        <rFont val="Noto Sans CJK SC"/>
        <family val="2"/>
      </rPr>
      <t xml:space="preserve">이상</t>
    </r>
  </si>
  <si>
    <t xml:space="preserve">출처 정확도</t>
  </si>
  <si>
    <t xml:space="preserve">표시된 출처 페이지에 실제 근거가 있는 비율</t>
  </si>
  <si>
    <r>
      <rPr>
        <sz val="10"/>
        <color theme="1"/>
        <rFont val="Arial"/>
        <family val="0"/>
        <charset val="1"/>
      </rPr>
      <t xml:space="preserve">90% </t>
    </r>
    <r>
      <rPr>
        <sz val="10"/>
        <color theme="1"/>
        <rFont val="Noto Sans CJK SC"/>
        <family val="2"/>
      </rPr>
      <t xml:space="preserve">이상</t>
    </r>
  </si>
  <si>
    <t xml:space="preserve">환각 발생률</t>
  </si>
  <si>
    <t xml:space="preserve">자료에 없는 내용을 단정한 답변 비율</t>
  </si>
  <si>
    <r>
      <rPr>
        <sz val="10"/>
        <color theme="1"/>
        <rFont val="Arial"/>
        <family val="0"/>
        <charset val="1"/>
      </rPr>
      <t xml:space="preserve">5% </t>
    </r>
    <r>
      <rPr>
        <sz val="10"/>
        <color theme="1"/>
        <rFont val="Noto Sans CJK SC"/>
        <family val="2"/>
      </rPr>
      <t xml:space="preserve">이하</t>
    </r>
  </si>
  <si>
    <r>
      <rPr>
        <sz val="10"/>
        <color theme="1"/>
        <rFont val="Arial"/>
        <family val="0"/>
        <charset val="1"/>
      </rPr>
      <t xml:space="preserve">OCR </t>
    </r>
    <r>
      <rPr>
        <sz val="10"/>
        <color theme="1"/>
        <rFont val="Noto Sans CJK SC"/>
        <family val="2"/>
      </rPr>
      <t xml:space="preserve">정확도</t>
    </r>
  </si>
  <si>
    <t xml:space="preserve">필기 샘플 10장의 문자 단위 일치율</t>
  </si>
  <si>
    <r>
      <rPr>
        <sz val="10"/>
        <color theme="1"/>
        <rFont val="Arial"/>
        <family val="0"/>
        <charset val="1"/>
      </rPr>
      <t xml:space="preserve">80% </t>
    </r>
    <r>
      <rPr>
        <sz val="10"/>
        <color theme="1"/>
        <rFont val="Noto Sans CJK SC"/>
        <family val="2"/>
      </rPr>
      <t xml:space="preserve">이상</t>
    </r>
  </si>
  <si>
    <t xml:space="preserve">마일스톤별</t>
  </si>
  <si>
    <t xml:space="preserve">사용자 만족도</t>
  </si>
  <si>
    <r>
      <rPr>
        <sz val="10"/>
        <color theme="1"/>
        <rFont val="Arial"/>
        <family val="0"/>
        <charset val="1"/>
      </rPr>
      <t xml:space="preserve">FR-FB-01 </t>
    </r>
    <r>
      <rPr>
        <sz val="10"/>
        <color theme="1"/>
        <rFont val="Noto Sans CJK SC"/>
        <family val="2"/>
      </rPr>
      <t xml:space="preserve">좋아요 비율</t>
    </r>
  </si>
  <si>
    <r>
      <rPr>
        <sz val="10"/>
        <color theme="1"/>
        <rFont val="Arial"/>
        <family val="0"/>
        <charset val="1"/>
      </rPr>
      <t xml:space="preserve">75% </t>
    </r>
    <r>
      <rPr>
        <sz val="10"/>
        <color theme="1"/>
        <rFont val="Noto Sans CJK SC"/>
        <family val="2"/>
      </rPr>
      <t xml:space="preserve">이상</t>
    </r>
  </si>
  <si>
    <t xml:space="preserve">상시</t>
  </si>
  <si>
    <r>
      <rPr>
        <sz val="9"/>
        <color theme="1"/>
        <rFont val="Arial"/>
        <family val="0"/>
        <charset val="1"/>
      </rPr>
      <t xml:space="preserve">'</t>
    </r>
    <r>
      <rPr>
        <sz val="9"/>
        <color theme="1"/>
        <rFont val="Noto Sans CJK SC"/>
        <family val="2"/>
      </rPr>
      <t xml:space="preserve">무엇을 바꿨더니 몇 </t>
    </r>
    <r>
      <rPr>
        <sz val="9"/>
        <color theme="1"/>
        <rFont val="Arial"/>
        <family val="0"/>
        <charset val="1"/>
      </rPr>
      <t xml:space="preserve">%</t>
    </r>
    <r>
      <rPr>
        <sz val="9"/>
        <color theme="1"/>
        <rFont val="Noto Sans CJK SC"/>
        <family val="2"/>
      </rPr>
      <t xml:space="preserve">가 올랐다</t>
    </r>
    <r>
      <rPr>
        <sz val="9"/>
        <color theme="1"/>
        <rFont val="Arial"/>
        <family val="0"/>
        <charset val="1"/>
      </rPr>
      <t xml:space="preserve">' — </t>
    </r>
    <r>
      <rPr>
        <sz val="9"/>
        <color theme="1"/>
        <rFont val="Noto Sans CJK SC"/>
        <family val="2"/>
      </rPr>
      <t xml:space="preserve">발표의 핵심 슬라이드가 되는 표입니다</t>
    </r>
    <r>
      <rPr>
        <sz val="9"/>
        <color theme="1"/>
        <rFont val="Arial"/>
        <family val="0"/>
        <charset val="1"/>
      </rPr>
      <t xml:space="preserve">.</t>
    </r>
  </si>
  <si>
    <r>
      <rPr>
        <sz val="10"/>
        <color theme="1"/>
        <rFont val="Arial"/>
        <family val="0"/>
        <charset val="1"/>
      </rPr>
      <t xml:space="preserve">1</t>
    </r>
    <r>
      <rPr>
        <sz val="10"/>
        <color theme="1"/>
        <rFont val="Noto Sans CJK SC"/>
        <family val="2"/>
      </rPr>
      <t xml:space="preserve">차</t>
    </r>
  </si>
  <si>
    <t xml:space="preserve">2026-03-02</t>
  </si>
  <si>
    <t xml:space="preserve">답변 정확도 60%</t>
  </si>
  <si>
    <t xml:space="preserve">청크 크기 400 → 800자 조정</t>
  </si>
  <si>
    <r>
      <rPr>
        <sz val="10"/>
        <color theme="1"/>
        <rFont val="Arial"/>
        <family val="0"/>
        <charset val="1"/>
      </rPr>
      <t xml:space="preserve">2</t>
    </r>
    <r>
      <rPr>
        <sz val="10"/>
        <color theme="1"/>
        <rFont val="Noto Sans CJK SC"/>
        <family val="2"/>
      </rPr>
      <t xml:space="preserve">차</t>
    </r>
  </si>
  <si>
    <t xml:space="preserve">2026-03-08</t>
  </si>
  <si>
    <t xml:space="preserve">답변 정확도 75%</t>
  </si>
  <si>
    <t xml:space="preserve">시스템 프롬프트에 '청크 범위 밖 답변 금지' 제약 추가</t>
  </si>
  <si>
    <r>
      <rPr>
        <sz val="10"/>
        <color theme="1"/>
        <rFont val="Arial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차</t>
    </r>
  </si>
  <si>
    <t xml:space="preserve">2026-03-13</t>
  </si>
  <si>
    <t xml:space="preserve">답변 정확도 85%</t>
  </si>
  <si>
    <r>
      <rPr>
        <sz val="10"/>
        <color theme="1"/>
        <rFont val="Arial"/>
        <family val="0"/>
        <charset val="1"/>
      </rPr>
      <t xml:space="preserve">top-k 5 → 4, </t>
    </r>
    <r>
      <rPr>
        <sz val="10"/>
        <color theme="1"/>
        <rFont val="Noto Sans CJK SC"/>
        <family val="2"/>
      </rPr>
      <t xml:space="preserve">유사도 임계값 </t>
    </r>
    <r>
      <rPr>
        <sz val="10"/>
        <color theme="1"/>
        <rFont val="Arial"/>
        <family val="0"/>
        <charset val="1"/>
      </rPr>
      <t xml:space="preserve">0.65 → 0.72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</si>
</sst>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2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Noto Sans CJK SC"/>
      <family val="2"/>
      <charset val="1"/>
    </font>
    <font>
      <sz val="9"/>
      <color theme="1"/>
      <name val="Arial"/>
      <family val="0"/>
      <charset val="1"/>
    </font>
    <font>
      <sz val="9"/>
      <color theme="1"/>
      <name val="Noto Sans CJK SC"/>
      <family val="2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Noto Sans CJK SC"/>
      <family val="2"/>
    </font>
    <font>
      <b val="true"/>
      <sz val="10"/>
      <color rgb="FFFFFFFF"/>
      <name val="Noto Sans CJK SC"/>
      <family val="2"/>
      <charset val="1"/>
    </font>
    <font>
      <b val="true"/>
      <sz val="10"/>
      <color theme="1"/>
      <name val="Arial"/>
      <family val="0"/>
      <charset val="1"/>
    </font>
    <font>
      <sz val="10"/>
      <color theme="1"/>
      <name val="Noto Sans CJK SC"/>
      <family val="2"/>
      <charset val="1"/>
    </font>
    <font>
      <sz val="10"/>
      <color theme="1"/>
      <name val="Arial"/>
      <family val="0"/>
      <charset val="1"/>
    </font>
    <font>
      <sz val="10"/>
      <color theme="1"/>
      <name val="Noto Sans CJK SC"/>
      <family val="2"/>
    </font>
    <font>
      <b val="true"/>
      <sz val="10"/>
      <color theme="1"/>
      <name val="Noto Sans CJK SC"/>
      <family val="2"/>
      <charset val="1"/>
    </font>
    <font>
      <b val="true"/>
      <sz val="10"/>
      <color theme="1"/>
      <name val="Noto Sans CJK SC"/>
      <family val="2"/>
    </font>
    <font>
      <sz val="9"/>
      <color theme="1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Noto Sans"/>
      <family val="0"/>
      <charset val="1"/>
    </font>
    <font>
      <b val="true"/>
      <sz val="15"/>
      <color rgb="FF1F3864"/>
      <name val="Arial"/>
      <family val="0"/>
      <charset val="1"/>
    </font>
    <font>
      <b val="true"/>
      <sz val="15"/>
      <color rgb="FF1F3864"/>
      <name val="Noto Sans CJK SC"/>
      <family val="2"/>
    </font>
    <font>
      <b val="true"/>
      <sz val="12"/>
      <color rgb="FF1F3864"/>
      <name val="Arial"/>
      <family val="0"/>
      <charset val="1"/>
    </font>
    <font>
      <b val="true"/>
      <sz val="12"/>
      <color rgb="FF1F3864"/>
      <name val="Noto Sans CJK SC"/>
      <family val="2"/>
    </font>
    <font>
      <sz val="10"/>
      <color theme="1"/>
      <name val="Noto Sans"/>
      <family val="0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2"/>
      <color rgb="FF1F3864"/>
      <name val="Noto Sans CJK SC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DEBF7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BE5D6"/>
      </patternFill>
    </fill>
    <fill>
      <patternFill patternType="solid">
        <fgColor rgb="FF8EAADB"/>
        <bgColor rgb="FFB0B0B0"/>
      </patternFill>
    </fill>
    <fill>
      <patternFill patternType="solid">
        <fgColor rgb="FFF8CBAD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CE4D6"/>
      </patternFill>
    </fill>
    <fill>
      <patternFill patternType="solid">
        <fgColor rgb="FFDDEBF7"/>
        <bgColor rgb="FFD9E2F3"/>
      </patternFill>
    </fill>
    <fill>
      <patternFill patternType="solid">
        <fgColor rgb="FFE2EFDA"/>
        <bgColor rgb="FFDDEBF7"/>
      </patternFill>
    </fill>
    <fill>
      <patternFill patternType="solid">
        <fgColor rgb="FFD0E0E3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8EAADB"/>
          <bgColor rgb="FF000000"/>
        </patternFill>
      </fill>
    </dxf>
    <dxf>
      <fill>
        <patternFill patternType="solid">
          <fgColor rgb="FFD0E0E3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8EAADB"/>
      <rgbColor rgb="FF993366"/>
      <rgbColor rgb="FFFFF2CC"/>
      <rgbColor rgb="FFDDEBF7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BE5D6"/>
      <rgbColor rgb="FF99CCFF"/>
      <rgbColor rgb="FFFCE4D6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0"/>
    <col collapsed="false" customWidth="true" hidden="false" outlineLevel="0" max="4" min="3" style="1" width="42"/>
    <col collapsed="false" customWidth="true" hidden="false" outlineLevel="0" max="5" min="5" style="1" width="24"/>
    <col collapsed="false" customWidth="true" hidden="false" outlineLevel="0" max="26" min="6" style="1" width="8.71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4" customFormat="false" ht="21.75" hidden="false" customHeight="true" outlineLevel="0" collapsed="false">
      <c r="A4" s="4" t="s">
        <v>2</v>
      </c>
      <c r="B4" s="4"/>
      <c r="C4" s="4"/>
      <c r="D4" s="4"/>
      <c r="E4" s="4"/>
    </row>
    <row r="5" customFormat="false" ht="19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</row>
    <row r="6" customFormat="false" ht="31.5" hidden="false" customHeight="true" outlineLevel="0" collapsed="false">
      <c r="A6" s="6" t="s">
        <v>8</v>
      </c>
      <c r="B6" s="7" t="s">
        <v>9</v>
      </c>
      <c r="C6" s="8" t="s">
        <v>10</v>
      </c>
      <c r="D6" s="8" t="s">
        <v>11</v>
      </c>
      <c r="E6" s="9" t="s">
        <v>7</v>
      </c>
    </row>
    <row r="7" customFormat="false" ht="31.5" hidden="false" customHeight="true" outlineLevel="0" collapsed="false">
      <c r="A7" s="10" t="s">
        <v>12</v>
      </c>
      <c r="B7" s="11" t="s">
        <v>13</v>
      </c>
      <c r="C7" s="11" t="s">
        <v>14</v>
      </c>
      <c r="D7" s="11" t="s">
        <v>15</v>
      </c>
      <c r="E7" s="12" t="s">
        <v>7</v>
      </c>
    </row>
    <row r="8" customFormat="false" ht="31.5" hidden="false" customHeight="true" outlineLevel="0" collapsed="false">
      <c r="A8" s="10" t="s">
        <v>16</v>
      </c>
      <c r="B8" s="11" t="s">
        <v>17</v>
      </c>
      <c r="C8" s="11" t="s">
        <v>18</v>
      </c>
      <c r="D8" s="11" t="s">
        <v>19</v>
      </c>
      <c r="E8" s="12" t="s">
        <v>7</v>
      </c>
    </row>
    <row r="9" customFormat="false" ht="31.5" hidden="false" customHeight="true" outlineLevel="0" collapsed="false">
      <c r="A9" s="10" t="s">
        <v>20</v>
      </c>
      <c r="B9" s="11" t="s">
        <v>21</v>
      </c>
      <c r="C9" s="11" t="s">
        <v>22</v>
      </c>
      <c r="D9" s="11" t="s">
        <v>23</v>
      </c>
      <c r="E9" s="12" t="s">
        <v>7</v>
      </c>
    </row>
    <row r="10" customFormat="false" ht="31.5" hidden="false" customHeight="true" outlineLevel="0" collapsed="false">
      <c r="A10" s="10" t="s">
        <v>24</v>
      </c>
      <c r="B10" s="11" t="s">
        <v>25</v>
      </c>
      <c r="C10" s="11" t="s">
        <v>26</v>
      </c>
      <c r="D10" s="11" t="s">
        <v>27</v>
      </c>
      <c r="E10" s="12" t="s">
        <v>7</v>
      </c>
    </row>
    <row r="11" customFormat="false" ht="31.5" hidden="false" customHeight="true" outlineLevel="0" collapsed="false">
      <c r="A11" s="10" t="s">
        <v>28</v>
      </c>
      <c r="B11" s="11" t="s">
        <v>29</v>
      </c>
      <c r="C11" s="11" t="s">
        <v>30</v>
      </c>
      <c r="D11" s="13" t="s">
        <v>31</v>
      </c>
      <c r="E11" s="12" t="s">
        <v>7</v>
      </c>
    </row>
    <row r="12" customFormat="false" ht="31.5" hidden="false" customHeight="true" outlineLevel="0" collapsed="false">
      <c r="A12" s="10" t="s">
        <v>32</v>
      </c>
      <c r="B12" s="11" t="s">
        <v>33</v>
      </c>
      <c r="C12" s="13" t="s">
        <v>34</v>
      </c>
      <c r="D12" s="11" t="s">
        <v>35</v>
      </c>
      <c r="E12" s="12" t="s">
        <v>7</v>
      </c>
    </row>
    <row r="13" customFormat="false" ht="31.5" hidden="false" customHeight="true" outlineLevel="0" collapsed="false">
      <c r="A13" s="10" t="s">
        <v>36</v>
      </c>
      <c r="B13" s="11" t="s">
        <v>37</v>
      </c>
      <c r="C13" s="11" t="s">
        <v>38</v>
      </c>
      <c r="D13" s="11" t="s">
        <v>39</v>
      </c>
      <c r="E13" s="12" t="s">
        <v>7</v>
      </c>
    </row>
    <row r="14" customFormat="false" ht="31.5" hidden="false" customHeight="true" outlineLevel="0" collapsed="false">
      <c r="A14" s="6" t="s">
        <v>40</v>
      </c>
      <c r="B14" s="7" t="s">
        <v>41</v>
      </c>
      <c r="C14" s="8" t="s">
        <v>42</v>
      </c>
      <c r="D14" s="8" t="s">
        <v>43</v>
      </c>
      <c r="E14" s="14" t="s">
        <v>44</v>
      </c>
    </row>
    <row r="15" customFormat="false" ht="31.5" hidden="false" customHeight="true" outlineLevel="0" collapsed="false">
      <c r="A15" s="15" t="s">
        <v>45</v>
      </c>
      <c r="B15" s="8" t="s">
        <v>46</v>
      </c>
      <c r="C15" s="8" t="s">
        <v>47</v>
      </c>
      <c r="D15" s="7" t="s">
        <v>48</v>
      </c>
      <c r="E15" s="9" t="s">
        <v>7</v>
      </c>
    </row>
    <row r="16" customFormat="false" ht="31.5" hidden="false" customHeight="true" outlineLevel="0" collapsed="false">
      <c r="A16" s="10" t="s">
        <v>49</v>
      </c>
      <c r="B16" s="11" t="s">
        <v>50</v>
      </c>
      <c r="C16" s="11" t="s">
        <v>51</v>
      </c>
      <c r="D16" s="11" t="s">
        <v>52</v>
      </c>
      <c r="E16" s="12" t="s">
        <v>7</v>
      </c>
    </row>
    <row r="17" customFormat="false" ht="31.5" hidden="false" customHeight="true" outlineLevel="0" collapsed="false">
      <c r="A17" s="10" t="s">
        <v>53</v>
      </c>
      <c r="B17" s="11" t="s">
        <v>54</v>
      </c>
      <c r="C17" s="11" t="s">
        <v>55</v>
      </c>
      <c r="D17" s="11" t="s">
        <v>56</v>
      </c>
      <c r="E17" s="12" t="s">
        <v>57</v>
      </c>
    </row>
    <row r="18" customFormat="false" ht="31.5" hidden="false" customHeight="true" outlineLevel="0" collapsed="false">
      <c r="A18" s="10" t="s">
        <v>58</v>
      </c>
      <c r="B18" s="11" t="s">
        <v>59</v>
      </c>
      <c r="C18" s="11" t="s">
        <v>60</v>
      </c>
      <c r="D18" s="11" t="s">
        <v>61</v>
      </c>
      <c r="E18" s="12" t="s">
        <v>7</v>
      </c>
    </row>
    <row r="19" customFormat="false" ht="31.5" hidden="false" customHeight="true" outlineLevel="0" collapsed="false">
      <c r="A19" s="10" t="s">
        <v>62</v>
      </c>
      <c r="B19" s="11" t="s">
        <v>63</v>
      </c>
      <c r="C19" s="11" t="s">
        <v>64</v>
      </c>
      <c r="D19" s="11"/>
      <c r="E19" s="12" t="s">
        <v>57</v>
      </c>
    </row>
    <row r="21" customFormat="false" ht="21.75" hidden="false" customHeight="true" outlineLevel="0" collapsed="false">
      <c r="A21" s="4" t="s">
        <v>65</v>
      </c>
      <c r="B21" s="4"/>
      <c r="C21" s="4"/>
      <c r="D21" s="4"/>
      <c r="E21" s="4"/>
    </row>
    <row r="22" customFormat="false" ht="15" hidden="false" customHeight="true" outlineLevel="0" collapsed="false">
      <c r="A22" s="5" t="s">
        <v>66</v>
      </c>
      <c r="B22" s="5" t="s">
        <v>67</v>
      </c>
      <c r="C22" s="5" t="s">
        <v>68</v>
      </c>
      <c r="D22" s="5"/>
      <c r="E22" s="5"/>
    </row>
    <row r="23" customFormat="false" ht="30" hidden="false" customHeight="true" outlineLevel="0" collapsed="false">
      <c r="A23" s="16" t="s">
        <v>69</v>
      </c>
      <c r="B23" s="11" t="s">
        <v>70</v>
      </c>
      <c r="C23" s="11" t="s">
        <v>71</v>
      </c>
      <c r="D23" s="11"/>
      <c r="E23" s="11"/>
    </row>
    <row r="24" customFormat="false" ht="30" hidden="false" customHeight="true" outlineLevel="0" collapsed="false">
      <c r="A24" s="16" t="s">
        <v>72</v>
      </c>
      <c r="B24" s="11" t="s">
        <v>73</v>
      </c>
      <c r="C24" s="11" t="s">
        <v>74</v>
      </c>
      <c r="D24" s="11"/>
      <c r="E24" s="11"/>
    </row>
    <row r="25" customFormat="false" ht="30" hidden="false" customHeight="true" outlineLevel="0" collapsed="false">
      <c r="A25" s="16" t="s">
        <v>75</v>
      </c>
      <c r="B25" s="11" t="s">
        <v>76</v>
      </c>
      <c r="C25" s="13" t="s">
        <v>77</v>
      </c>
      <c r="D25" s="13"/>
      <c r="E25" s="13"/>
    </row>
    <row r="26" customFormat="false" ht="30" hidden="false" customHeight="true" outlineLevel="0" collapsed="false">
      <c r="A26" s="16" t="s">
        <v>78</v>
      </c>
      <c r="B26" s="11" t="s">
        <v>79</v>
      </c>
      <c r="C26" s="11" t="s">
        <v>80</v>
      </c>
      <c r="D26" s="11"/>
      <c r="E26" s="11"/>
    </row>
    <row r="27" customFormat="false" ht="30" hidden="false" customHeight="true" outlineLevel="0" collapsed="false">
      <c r="A27" s="16" t="s">
        <v>81</v>
      </c>
      <c r="B27" s="11" t="s">
        <v>82</v>
      </c>
      <c r="C27" s="11" t="s">
        <v>83</v>
      </c>
      <c r="D27" s="11"/>
      <c r="E27" s="11"/>
    </row>
    <row r="28" customFormat="false" ht="30" hidden="false" customHeight="true" outlineLevel="0" collapsed="false">
      <c r="A28" s="16" t="s">
        <v>84</v>
      </c>
      <c r="B28" s="11" t="s">
        <v>85</v>
      </c>
      <c r="C28" s="11" t="s">
        <v>86</v>
      </c>
      <c r="D28" s="11"/>
      <c r="E28" s="11"/>
    </row>
    <row r="29" customFormat="false" ht="15.75" hidden="false" customHeight="true" outlineLevel="0" collapsed="false"/>
    <row r="30" customFormat="false" ht="21.75" hidden="false" customHeight="true" outlineLevel="0" collapsed="false">
      <c r="A30" s="4" t="s">
        <v>87</v>
      </c>
      <c r="B30" s="4"/>
      <c r="C30" s="4"/>
      <c r="D30" s="4"/>
      <c r="E30" s="4"/>
    </row>
    <row r="31" customFormat="false" ht="33.75" hidden="false" customHeight="true" outlineLevel="0" collapsed="false">
      <c r="A31" s="17" t="s">
        <v>88</v>
      </c>
      <c r="B31" s="17"/>
      <c r="C31" s="13" t="s">
        <v>89</v>
      </c>
      <c r="D31" s="13"/>
      <c r="E31" s="13"/>
    </row>
    <row r="32" customFormat="false" ht="33.75" hidden="false" customHeight="true" outlineLevel="0" collapsed="false">
      <c r="A32" s="17" t="s">
        <v>90</v>
      </c>
      <c r="B32" s="17"/>
      <c r="C32" s="13" t="s">
        <v>91</v>
      </c>
      <c r="D32" s="13"/>
      <c r="E32" s="13"/>
    </row>
    <row r="33" customFormat="false" ht="33.75" hidden="false" customHeight="true" outlineLevel="0" collapsed="false">
      <c r="A33" s="18" t="s">
        <v>92</v>
      </c>
      <c r="B33" s="18"/>
      <c r="C33" s="13" t="s">
        <v>93</v>
      </c>
      <c r="D33" s="13"/>
      <c r="E33" s="13"/>
    </row>
    <row r="34" customFormat="false" ht="33.75" hidden="false" customHeight="true" outlineLevel="0" collapsed="false">
      <c r="A34" s="17" t="s">
        <v>94</v>
      </c>
      <c r="B34" s="17"/>
      <c r="C34" s="13" t="s">
        <v>95</v>
      </c>
      <c r="D34" s="13"/>
      <c r="E34" s="13"/>
    </row>
    <row r="35" customFormat="false" ht="33.75" hidden="false" customHeight="true" outlineLevel="0" collapsed="false">
      <c r="A35" s="18" t="s">
        <v>96</v>
      </c>
      <c r="B35" s="18"/>
      <c r="C35" s="11" t="s">
        <v>97</v>
      </c>
      <c r="D35" s="11"/>
      <c r="E35" s="11"/>
    </row>
    <row r="36" customFormat="false" ht="15.75" hidden="false" customHeight="true" outlineLevel="0" collapsed="false"/>
    <row r="37" customFormat="false" ht="21.75" hidden="false" customHeight="true" outlineLevel="0" collapsed="false">
      <c r="A37" s="4" t="s">
        <v>98</v>
      </c>
      <c r="B37" s="4"/>
      <c r="C37" s="4"/>
      <c r="D37" s="4"/>
      <c r="E37" s="4"/>
    </row>
    <row r="38" customFormat="false" ht="15" hidden="false" customHeight="true" outlineLevel="0" collapsed="false">
      <c r="A38" s="5" t="s">
        <v>99</v>
      </c>
      <c r="B38" s="5" t="s">
        <v>100</v>
      </c>
      <c r="C38" s="5" t="s">
        <v>68</v>
      </c>
      <c r="D38" s="5"/>
      <c r="E38" s="5"/>
    </row>
    <row r="39" customFormat="false" ht="15" hidden="false" customHeight="true" outlineLevel="0" collapsed="false">
      <c r="A39" s="16" t="s">
        <v>47</v>
      </c>
      <c r="B39" s="12" t="n">
        <f aca="false">COUNTIF(기능명세서!$J$3:$J$200,"Must")</f>
        <v>38</v>
      </c>
      <c r="C39" s="19" t="s">
        <v>101</v>
      </c>
      <c r="D39" s="19"/>
      <c r="E39" s="19"/>
    </row>
    <row r="40" customFormat="false" ht="15" hidden="false" customHeight="true" outlineLevel="0" collapsed="false">
      <c r="A40" s="16" t="s">
        <v>102</v>
      </c>
      <c r="B40" s="12" t="n">
        <f aca="false">COUNTIF(기능명세서!$J$3:$J$200,"Should")</f>
        <v>25</v>
      </c>
      <c r="C40" s="19" t="s">
        <v>103</v>
      </c>
      <c r="D40" s="19"/>
      <c r="E40" s="19"/>
    </row>
    <row r="41" customFormat="false" ht="15" hidden="false" customHeight="true" outlineLevel="0" collapsed="false">
      <c r="A41" s="16" t="s">
        <v>104</v>
      </c>
      <c r="B41" s="12" t="n">
        <f aca="false">COUNTIF(기능명세서!$J$3:$J$200,"Could")</f>
        <v>4</v>
      </c>
      <c r="C41" s="19" t="s">
        <v>105</v>
      </c>
      <c r="D41" s="19"/>
      <c r="E41" s="19"/>
    </row>
    <row r="42" customFormat="false" ht="15" hidden="false" customHeight="true" outlineLevel="0" collapsed="false">
      <c r="A42" s="16" t="s">
        <v>106</v>
      </c>
      <c r="B42" s="12" t="n">
        <f aca="false">COUNTIF(기능명세서!$J$3:$J$200,"Won't")</f>
        <v>2</v>
      </c>
      <c r="C42" s="19" t="s">
        <v>107</v>
      </c>
      <c r="D42" s="19"/>
      <c r="E42" s="19"/>
    </row>
    <row r="43" customFormat="false" ht="15" hidden="false" customHeight="true" outlineLevel="0" collapsed="false">
      <c r="A43" s="10" t="s">
        <v>108</v>
      </c>
      <c r="B43" s="12" t="n">
        <f aca="false">SUM(B39:B42)</f>
        <v>69</v>
      </c>
      <c r="C43" s="19" t="s">
        <v>109</v>
      </c>
      <c r="D43" s="19"/>
      <c r="E43" s="19"/>
    </row>
    <row r="44" customFormat="false" ht="15" hidden="false" customHeight="true" outlineLevel="0" collapsed="false">
      <c r="A44" s="16" t="s">
        <v>110</v>
      </c>
      <c r="B44" s="12" t="n">
        <f aca="false">COUNTA(기능명세서!$I$3:$I$200)</f>
        <v>21</v>
      </c>
      <c r="C44" s="20" t="s">
        <v>111</v>
      </c>
      <c r="D44" s="20"/>
      <c r="E44" s="20"/>
    </row>
    <row r="45" customFormat="false" ht="15.75" hidden="false" customHeight="true" outlineLevel="0" collapsed="false"/>
    <row r="46" customFormat="false" ht="21.75" hidden="false" customHeight="true" outlineLevel="0" collapsed="false">
      <c r="A46" s="4" t="s">
        <v>112</v>
      </c>
      <c r="B46" s="4"/>
      <c r="C46" s="4"/>
      <c r="D46" s="4"/>
      <c r="E46" s="4"/>
    </row>
    <row r="47" customFormat="false" ht="19.5" hidden="false" customHeight="true" outlineLevel="0" collapsed="false">
      <c r="A47" s="21" t="s">
        <v>113</v>
      </c>
      <c r="B47" s="21"/>
      <c r="C47" s="21"/>
      <c r="D47" s="21"/>
      <c r="E47" s="21"/>
    </row>
    <row r="48" customFormat="false" ht="19.5" hidden="false" customHeight="true" outlineLevel="0" collapsed="false">
      <c r="A48" s="22" t="s">
        <v>114</v>
      </c>
      <c r="B48" s="22"/>
      <c r="C48" s="22"/>
      <c r="D48" s="22"/>
      <c r="E48" s="22"/>
    </row>
    <row r="49" customFormat="false" ht="19.5" hidden="false" customHeight="true" outlineLevel="0" collapsed="false">
      <c r="A49" s="22" t="s">
        <v>115</v>
      </c>
      <c r="B49" s="22"/>
      <c r="C49" s="22"/>
      <c r="D49" s="22"/>
      <c r="E49" s="22"/>
    </row>
    <row r="50" customFormat="false" ht="19.5" hidden="false" customHeight="true" outlineLevel="0" collapsed="false">
      <c r="A50" s="22" t="s">
        <v>116</v>
      </c>
      <c r="B50" s="22"/>
      <c r="C50" s="22"/>
      <c r="D50" s="22"/>
      <c r="E50" s="22"/>
    </row>
    <row r="51" customFormat="false" ht="19.5" hidden="false" customHeight="true" outlineLevel="0" collapsed="false">
      <c r="A51" s="22" t="s">
        <v>117</v>
      </c>
      <c r="B51" s="22"/>
      <c r="C51" s="22"/>
      <c r="D51" s="22"/>
      <c r="E51" s="22"/>
    </row>
    <row r="52" customFormat="false" ht="19.5" hidden="false" customHeight="true" outlineLevel="0" collapsed="false">
      <c r="A52" s="21" t="s">
        <v>118</v>
      </c>
      <c r="B52" s="21"/>
      <c r="C52" s="21"/>
      <c r="D52" s="21"/>
      <c r="E52" s="21"/>
    </row>
    <row r="53" customFormat="false" ht="19.5" hidden="false" customHeight="true" outlineLevel="0" collapsed="false">
      <c r="A53" s="22" t="s">
        <v>119</v>
      </c>
      <c r="B53" s="22"/>
      <c r="C53" s="22"/>
      <c r="D53" s="22"/>
      <c r="E53" s="22"/>
    </row>
    <row r="54" customFormat="false" ht="19.5" hidden="false" customHeight="true" outlineLevel="0" collapsed="false">
      <c r="A54" s="21" t="s">
        <v>120</v>
      </c>
      <c r="B54" s="21"/>
      <c r="C54" s="21"/>
      <c r="D54" s="21"/>
      <c r="E54" s="21"/>
    </row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9">
    <mergeCell ref="A1:E1"/>
    <mergeCell ref="A2:E2"/>
    <mergeCell ref="A4:E4"/>
    <mergeCell ref="A21:E21"/>
    <mergeCell ref="C22:E22"/>
    <mergeCell ref="C23:E23"/>
    <mergeCell ref="C24:E24"/>
    <mergeCell ref="C25:E25"/>
    <mergeCell ref="C26:E26"/>
    <mergeCell ref="C27:E27"/>
    <mergeCell ref="C28:E28"/>
    <mergeCell ref="A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B35"/>
    <mergeCell ref="C35:E35"/>
    <mergeCell ref="A37:E37"/>
    <mergeCell ref="C38:E38"/>
    <mergeCell ref="C39:E39"/>
    <mergeCell ref="C40:E40"/>
    <mergeCell ref="C41:E41"/>
    <mergeCell ref="C42:E42"/>
    <mergeCell ref="C43:E43"/>
    <mergeCell ref="C44:E44"/>
    <mergeCell ref="A46:E46"/>
    <mergeCell ref="A47:E47"/>
    <mergeCell ref="A48:E48"/>
    <mergeCell ref="A49:E49"/>
    <mergeCell ref="A50:E50"/>
    <mergeCell ref="A51:E51"/>
    <mergeCell ref="A52:E52"/>
    <mergeCell ref="A53:E53"/>
    <mergeCell ref="A54:E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3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34"/>
    <col collapsed="false" customWidth="true" hidden="false" outlineLevel="0" max="12" min="12" style="1" width="22"/>
    <col collapsed="false" customWidth="true" hidden="false" outlineLevel="0" max="13" min="13" style="1" width="12"/>
    <col collapsed="false" customWidth="true" hidden="false" outlineLevel="0" max="14" min="14" style="1" width="16"/>
    <col collapsed="false" customWidth="true" hidden="false" outlineLevel="0" max="26" min="15" style="1" width="8.71"/>
  </cols>
  <sheetData>
    <row r="1" customFormat="false" ht="19.5" hidden="false" customHeight="true" outlineLevel="0" collapsed="false">
      <c r="A1" s="23" t="s">
        <v>8</v>
      </c>
      <c r="B1" s="24" t="s">
        <v>12</v>
      </c>
      <c r="C1" s="24" t="s">
        <v>121</v>
      </c>
      <c r="D1" s="24"/>
      <c r="E1" s="24" t="s">
        <v>24</v>
      </c>
      <c r="F1" s="24" t="s">
        <v>28</v>
      </c>
      <c r="G1" s="24" t="s">
        <v>32</v>
      </c>
      <c r="H1" s="24" t="s">
        <v>36</v>
      </c>
      <c r="I1" s="23" t="s">
        <v>122</v>
      </c>
      <c r="J1" s="24" t="s">
        <v>45</v>
      </c>
      <c r="K1" s="24" t="s">
        <v>49</v>
      </c>
      <c r="L1" s="24" t="s">
        <v>53</v>
      </c>
      <c r="M1" s="24" t="s">
        <v>58</v>
      </c>
      <c r="N1" s="24" t="s">
        <v>62</v>
      </c>
    </row>
    <row r="2" customFormat="false" ht="19.5" hidden="false" customHeight="true" outlineLevel="0" collapsed="false">
      <c r="A2" s="23"/>
      <c r="B2" s="23"/>
      <c r="C2" s="25" t="s">
        <v>16</v>
      </c>
      <c r="D2" s="25" t="s">
        <v>20</v>
      </c>
      <c r="E2" s="26"/>
      <c r="F2" s="26"/>
      <c r="G2" s="26"/>
      <c r="H2" s="26"/>
      <c r="I2" s="26"/>
      <c r="J2" s="26"/>
      <c r="K2" s="26"/>
      <c r="L2" s="26"/>
      <c r="M2" s="26"/>
      <c r="N2" s="26"/>
    </row>
    <row r="3" customFormat="false" ht="45.75" hidden="false" customHeight="true" outlineLevel="0" collapsed="false">
      <c r="A3" s="11" t="s">
        <v>123</v>
      </c>
      <c r="B3" s="27" t="s">
        <v>124</v>
      </c>
      <c r="C3" s="11" t="s">
        <v>125</v>
      </c>
      <c r="D3" s="11" t="s">
        <v>126</v>
      </c>
      <c r="E3" s="11" t="s">
        <v>127</v>
      </c>
      <c r="F3" s="11" t="s">
        <v>128</v>
      </c>
      <c r="G3" s="11" t="s">
        <v>129</v>
      </c>
      <c r="H3" s="11" t="s">
        <v>130</v>
      </c>
      <c r="I3" s="11"/>
      <c r="J3" s="13" t="s">
        <v>102</v>
      </c>
      <c r="K3" s="11" t="s">
        <v>131</v>
      </c>
      <c r="L3" s="11"/>
      <c r="M3" s="11" t="s">
        <v>132</v>
      </c>
      <c r="N3" s="11"/>
    </row>
    <row r="4" customFormat="false" ht="45.75" hidden="false" customHeight="true" outlineLevel="0" collapsed="false">
      <c r="A4" s="11" t="s">
        <v>133</v>
      </c>
      <c r="B4" s="27"/>
      <c r="C4" s="11" t="s">
        <v>125</v>
      </c>
      <c r="D4" s="11" t="s">
        <v>134</v>
      </c>
      <c r="E4" s="11" t="s">
        <v>135</v>
      </c>
      <c r="F4" s="11" t="s">
        <v>136</v>
      </c>
      <c r="G4" s="11" t="s">
        <v>137</v>
      </c>
      <c r="H4" s="11" t="s">
        <v>138</v>
      </c>
      <c r="I4" s="11"/>
      <c r="J4" s="13" t="s">
        <v>47</v>
      </c>
      <c r="K4" s="11" t="s">
        <v>139</v>
      </c>
      <c r="L4" s="11"/>
      <c r="M4" s="11" t="s">
        <v>132</v>
      </c>
      <c r="N4" s="11"/>
    </row>
    <row r="5" customFormat="false" ht="45.75" hidden="false" customHeight="true" outlineLevel="0" collapsed="false">
      <c r="A5" s="11" t="s">
        <v>140</v>
      </c>
      <c r="B5" s="27"/>
      <c r="C5" s="11" t="s">
        <v>141</v>
      </c>
      <c r="D5" s="11" t="s">
        <v>142</v>
      </c>
      <c r="E5" s="11" t="s">
        <v>143</v>
      </c>
      <c r="F5" s="11" t="s">
        <v>144</v>
      </c>
      <c r="G5" s="11" t="s">
        <v>145</v>
      </c>
      <c r="H5" s="11" t="s">
        <v>146</v>
      </c>
      <c r="I5" s="11"/>
      <c r="J5" s="13" t="s">
        <v>47</v>
      </c>
      <c r="K5" s="11" t="s">
        <v>147</v>
      </c>
      <c r="L5" s="11"/>
      <c r="M5" s="11" t="s">
        <v>148</v>
      </c>
      <c r="N5" s="11" t="s">
        <v>149</v>
      </c>
    </row>
    <row r="6" customFormat="false" ht="45.75" hidden="false" customHeight="true" outlineLevel="0" collapsed="false">
      <c r="A6" s="11" t="s">
        <v>150</v>
      </c>
      <c r="B6" s="27"/>
      <c r="C6" s="11" t="s">
        <v>141</v>
      </c>
      <c r="D6" s="11" t="s">
        <v>151</v>
      </c>
      <c r="E6" s="11" t="s">
        <v>152</v>
      </c>
      <c r="F6" s="11" t="s">
        <v>153</v>
      </c>
      <c r="G6" s="11" t="s">
        <v>154</v>
      </c>
      <c r="H6" s="11" t="s">
        <v>155</v>
      </c>
      <c r="I6" s="11"/>
      <c r="J6" s="13" t="s">
        <v>102</v>
      </c>
      <c r="K6" s="11" t="s">
        <v>156</v>
      </c>
      <c r="L6" s="11"/>
      <c r="M6" s="11" t="s">
        <v>148</v>
      </c>
      <c r="N6" s="11"/>
    </row>
    <row r="7" customFormat="false" ht="45.75" hidden="false" customHeight="true" outlineLevel="0" collapsed="false">
      <c r="A7" s="11" t="s">
        <v>157</v>
      </c>
      <c r="B7" s="27"/>
      <c r="C7" s="11" t="s">
        <v>141</v>
      </c>
      <c r="D7" s="11" t="s">
        <v>158</v>
      </c>
      <c r="E7" s="11" t="s">
        <v>159</v>
      </c>
      <c r="F7" s="11" t="s">
        <v>160</v>
      </c>
      <c r="G7" s="11" t="s">
        <v>161</v>
      </c>
      <c r="H7" s="11" t="s">
        <v>162</v>
      </c>
      <c r="I7" s="11"/>
      <c r="J7" s="13" t="s">
        <v>47</v>
      </c>
      <c r="K7" s="11" t="s">
        <v>163</v>
      </c>
      <c r="L7" s="11"/>
      <c r="M7" s="11" t="s">
        <v>148</v>
      </c>
      <c r="N7" s="11" t="s">
        <v>164</v>
      </c>
    </row>
    <row r="8" customFormat="false" ht="45.75" hidden="false" customHeight="true" outlineLevel="0" collapsed="false">
      <c r="A8" s="11" t="s">
        <v>165</v>
      </c>
      <c r="B8" s="27"/>
      <c r="C8" s="11" t="s">
        <v>141</v>
      </c>
      <c r="D8" s="11" t="s">
        <v>166</v>
      </c>
      <c r="E8" s="11" t="s">
        <v>167</v>
      </c>
      <c r="F8" s="11" t="s">
        <v>168</v>
      </c>
      <c r="G8" s="11" t="s">
        <v>169</v>
      </c>
      <c r="H8" s="11" t="s">
        <v>170</v>
      </c>
      <c r="I8" s="11" t="s">
        <v>42</v>
      </c>
      <c r="J8" s="13" t="s">
        <v>102</v>
      </c>
      <c r="K8" s="11" t="s">
        <v>171</v>
      </c>
      <c r="L8" s="11"/>
      <c r="M8" s="11" t="s">
        <v>148</v>
      </c>
      <c r="N8" s="11" t="s">
        <v>172</v>
      </c>
    </row>
    <row r="9" customFormat="false" ht="45.75" hidden="false" customHeight="true" outlineLevel="0" collapsed="false">
      <c r="A9" s="11" t="s">
        <v>173</v>
      </c>
      <c r="B9" s="27"/>
      <c r="C9" s="11" t="s">
        <v>141</v>
      </c>
      <c r="D9" s="11" t="s">
        <v>174</v>
      </c>
      <c r="E9" s="11" t="s">
        <v>175</v>
      </c>
      <c r="F9" s="11" t="s">
        <v>176</v>
      </c>
      <c r="G9" s="11" t="s">
        <v>177</v>
      </c>
      <c r="H9" s="11" t="s">
        <v>178</v>
      </c>
      <c r="I9" s="11"/>
      <c r="J9" s="13" t="s">
        <v>47</v>
      </c>
      <c r="K9" s="11" t="s">
        <v>179</v>
      </c>
      <c r="L9" s="11" t="s">
        <v>180</v>
      </c>
      <c r="M9" s="11" t="s">
        <v>148</v>
      </c>
      <c r="N9" s="11" t="s">
        <v>181</v>
      </c>
    </row>
    <row r="10" customFormat="false" ht="45.75" hidden="false" customHeight="true" outlineLevel="0" collapsed="false">
      <c r="A10" s="11" t="s">
        <v>182</v>
      </c>
      <c r="B10" s="27"/>
      <c r="C10" s="11" t="s">
        <v>141</v>
      </c>
      <c r="D10" s="11" t="s">
        <v>183</v>
      </c>
      <c r="E10" s="11" t="s">
        <v>184</v>
      </c>
      <c r="F10" s="11" t="s">
        <v>185</v>
      </c>
      <c r="G10" s="11" t="s">
        <v>186</v>
      </c>
      <c r="H10" s="11" t="s">
        <v>187</v>
      </c>
      <c r="I10" s="11"/>
      <c r="J10" s="13" t="s">
        <v>102</v>
      </c>
      <c r="K10" s="11" t="s">
        <v>188</v>
      </c>
      <c r="L10" s="11"/>
      <c r="M10" s="11" t="s">
        <v>148</v>
      </c>
      <c r="N10" s="11"/>
    </row>
    <row r="11" customFormat="false" ht="45.75" hidden="false" customHeight="true" outlineLevel="0" collapsed="false">
      <c r="A11" s="11" t="s">
        <v>189</v>
      </c>
      <c r="B11" s="27"/>
      <c r="C11" s="11" t="s">
        <v>190</v>
      </c>
      <c r="D11" s="11" t="s">
        <v>191</v>
      </c>
      <c r="E11" s="11" t="s">
        <v>192</v>
      </c>
      <c r="F11" s="11" t="s">
        <v>193</v>
      </c>
      <c r="G11" s="11" t="s">
        <v>194</v>
      </c>
      <c r="H11" s="11" t="s">
        <v>195</v>
      </c>
      <c r="I11" s="11"/>
      <c r="J11" s="13" t="s">
        <v>47</v>
      </c>
      <c r="K11" s="11" t="s">
        <v>196</v>
      </c>
      <c r="L11" s="11" t="s">
        <v>197</v>
      </c>
      <c r="M11" s="11" t="s">
        <v>132</v>
      </c>
      <c r="N11" s="11" t="s">
        <v>198</v>
      </c>
    </row>
    <row r="12" customFormat="false" ht="45.75" hidden="false" customHeight="true" outlineLevel="0" collapsed="false">
      <c r="A12" s="11" t="s">
        <v>199</v>
      </c>
      <c r="B12" s="27" t="s">
        <v>200</v>
      </c>
      <c r="C12" s="11" t="s">
        <v>201</v>
      </c>
      <c r="D12" s="11" t="s">
        <v>202</v>
      </c>
      <c r="E12" s="11" t="s">
        <v>203</v>
      </c>
      <c r="F12" s="11" t="s">
        <v>204</v>
      </c>
      <c r="G12" s="11" t="s">
        <v>205</v>
      </c>
      <c r="H12" s="11" t="s">
        <v>206</v>
      </c>
      <c r="I12" s="11"/>
      <c r="J12" s="13" t="s">
        <v>47</v>
      </c>
      <c r="K12" s="11" t="s">
        <v>207</v>
      </c>
      <c r="L12" s="11"/>
      <c r="M12" s="11" t="s">
        <v>132</v>
      </c>
      <c r="N12" s="11" t="s">
        <v>208</v>
      </c>
    </row>
    <row r="13" customFormat="false" ht="45.75" hidden="false" customHeight="true" outlineLevel="0" collapsed="false">
      <c r="A13" s="11" t="s">
        <v>209</v>
      </c>
      <c r="B13" s="27"/>
      <c r="C13" s="11" t="s">
        <v>201</v>
      </c>
      <c r="D13" s="11" t="s">
        <v>210</v>
      </c>
      <c r="E13" s="11" t="s">
        <v>211</v>
      </c>
      <c r="F13" s="11" t="s">
        <v>212</v>
      </c>
      <c r="G13" s="11" t="s">
        <v>213</v>
      </c>
      <c r="H13" s="11" t="s">
        <v>214</v>
      </c>
      <c r="I13" s="11"/>
      <c r="J13" s="13" t="s">
        <v>102</v>
      </c>
      <c r="K13" s="11" t="s">
        <v>215</v>
      </c>
      <c r="L13" s="11"/>
      <c r="M13" s="11" t="s">
        <v>132</v>
      </c>
      <c r="N13" s="11" t="s">
        <v>216</v>
      </c>
    </row>
    <row r="14" customFormat="false" ht="45.75" hidden="false" customHeight="true" outlineLevel="0" collapsed="false">
      <c r="A14" s="11" t="s">
        <v>217</v>
      </c>
      <c r="B14" s="27"/>
      <c r="C14" s="11" t="s">
        <v>218</v>
      </c>
      <c r="D14" s="11" t="s">
        <v>219</v>
      </c>
      <c r="E14" s="11" t="s">
        <v>220</v>
      </c>
      <c r="F14" s="11" t="s">
        <v>221</v>
      </c>
      <c r="G14" s="11" t="s">
        <v>222</v>
      </c>
      <c r="H14" s="11" t="s">
        <v>223</v>
      </c>
      <c r="I14" s="11"/>
      <c r="J14" s="13" t="s">
        <v>102</v>
      </c>
      <c r="K14" s="11" t="s">
        <v>224</v>
      </c>
      <c r="L14" s="11"/>
      <c r="M14" s="11" t="s">
        <v>132</v>
      </c>
      <c r="N14" s="11"/>
    </row>
    <row r="15" customFormat="false" ht="45.75" hidden="false" customHeight="true" outlineLevel="0" collapsed="false">
      <c r="A15" s="11" t="s">
        <v>225</v>
      </c>
      <c r="B15" s="27" t="s">
        <v>226</v>
      </c>
      <c r="C15" s="11" t="s">
        <v>227</v>
      </c>
      <c r="D15" s="11" t="s">
        <v>228</v>
      </c>
      <c r="E15" s="11" t="s">
        <v>229</v>
      </c>
      <c r="F15" s="11" t="s">
        <v>230</v>
      </c>
      <c r="G15" s="11" t="s">
        <v>231</v>
      </c>
      <c r="H15" s="11" t="s">
        <v>232</v>
      </c>
      <c r="I15" s="11"/>
      <c r="J15" s="13" t="s">
        <v>47</v>
      </c>
      <c r="K15" s="11" t="s">
        <v>233</v>
      </c>
      <c r="L15" s="11" t="s">
        <v>234</v>
      </c>
      <c r="M15" s="11" t="s">
        <v>132</v>
      </c>
      <c r="N15" s="11" t="s">
        <v>235</v>
      </c>
    </row>
    <row r="16" customFormat="false" ht="45.75" hidden="false" customHeight="true" outlineLevel="0" collapsed="false">
      <c r="A16" s="11" t="s">
        <v>236</v>
      </c>
      <c r="B16" s="27"/>
      <c r="C16" s="11" t="s">
        <v>227</v>
      </c>
      <c r="D16" s="11" t="s">
        <v>237</v>
      </c>
      <c r="E16" s="11" t="s">
        <v>238</v>
      </c>
      <c r="F16" s="11" t="s">
        <v>239</v>
      </c>
      <c r="G16" s="11" t="s">
        <v>240</v>
      </c>
      <c r="H16" s="11" t="s">
        <v>241</v>
      </c>
      <c r="I16" s="11"/>
      <c r="J16" s="13" t="s">
        <v>47</v>
      </c>
      <c r="K16" s="11" t="s">
        <v>242</v>
      </c>
      <c r="L16" s="11"/>
      <c r="M16" s="11" t="s">
        <v>132</v>
      </c>
      <c r="N16" s="11" t="s">
        <v>198</v>
      </c>
    </row>
    <row r="17" customFormat="false" ht="45.75" hidden="false" customHeight="true" outlineLevel="0" collapsed="false">
      <c r="A17" s="11" t="s">
        <v>243</v>
      </c>
      <c r="B17" s="27"/>
      <c r="C17" s="11" t="s">
        <v>227</v>
      </c>
      <c r="D17" s="11" t="s">
        <v>244</v>
      </c>
      <c r="E17" s="11" t="s">
        <v>245</v>
      </c>
      <c r="F17" s="11" t="s">
        <v>246</v>
      </c>
      <c r="G17" s="11" t="s">
        <v>247</v>
      </c>
      <c r="H17" s="11" t="s">
        <v>241</v>
      </c>
      <c r="I17" s="11"/>
      <c r="J17" s="13" t="s">
        <v>47</v>
      </c>
      <c r="K17" s="11" t="s">
        <v>248</v>
      </c>
      <c r="L17" s="11"/>
      <c r="M17" s="11" t="s">
        <v>132</v>
      </c>
      <c r="N17" s="11" t="s">
        <v>249</v>
      </c>
    </row>
    <row r="18" customFormat="false" ht="45.75" hidden="false" customHeight="true" outlineLevel="0" collapsed="false">
      <c r="A18" s="11" t="s">
        <v>250</v>
      </c>
      <c r="B18" s="27" t="s">
        <v>251</v>
      </c>
      <c r="C18" s="11" t="s">
        <v>252</v>
      </c>
      <c r="D18" s="11" t="s">
        <v>253</v>
      </c>
      <c r="E18" s="11" t="s">
        <v>254</v>
      </c>
      <c r="F18" s="11" t="s">
        <v>255</v>
      </c>
      <c r="G18" s="11" t="s">
        <v>256</v>
      </c>
      <c r="H18" s="11" t="s">
        <v>257</v>
      </c>
      <c r="I18" s="11"/>
      <c r="J18" s="13" t="s">
        <v>47</v>
      </c>
      <c r="K18" s="11" t="s">
        <v>258</v>
      </c>
      <c r="L18" s="11"/>
      <c r="M18" s="11" t="s">
        <v>132</v>
      </c>
      <c r="N18" s="11" t="s">
        <v>259</v>
      </c>
    </row>
    <row r="19" customFormat="false" ht="45.75" hidden="false" customHeight="true" outlineLevel="0" collapsed="false">
      <c r="A19" s="11" t="s">
        <v>260</v>
      </c>
      <c r="B19" s="27"/>
      <c r="C19" s="11" t="s">
        <v>252</v>
      </c>
      <c r="D19" s="11" t="s">
        <v>261</v>
      </c>
      <c r="E19" s="11" t="s">
        <v>262</v>
      </c>
      <c r="F19" s="11" t="s">
        <v>263</v>
      </c>
      <c r="G19" s="11" t="s">
        <v>264</v>
      </c>
      <c r="H19" s="11" t="s">
        <v>265</v>
      </c>
      <c r="I19" s="11" t="s">
        <v>42</v>
      </c>
      <c r="J19" s="13" t="s">
        <v>47</v>
      </c>
      <c r="K19" s="11" t="s">
        <v>266</v>
      </c>
      <c r="L19" s="11" t="s">
        <v>267</v>
      </c>
      <c r="M19" s="11" t="s">
        <v>132</v>
      </c>
      <c r="N19" s="11" t="s">
        <v>268</v>
      </c>
    </row>
    <row r="20" customFormat="false" ht="45.75" hidden="false" customHeight="true" outlineLevel="0" collapsed="false">
      <c r="A20" s="11" t="s">
        <v>269</v>
      </c>
      <c r="B20" s="27"/>
      <c r="C20" s="11" t="s">
        <v>252</v>
      </c>
      <c r="D20" s="11" t="s">
        <v>270</v>
      </c>
      <c r="E20" s="11" t="s">
        <v>271</v>
      </c>
      <c r="F20" s="11" t="s">
        <v>272</v>
      </c>
      <c r="G20" s="11" t="s">
        <v>273</v>
      </c>
      <c r="H20" s="11" t="s">
        <v>274</v>
      </c>
      <c r="I20" s="11"/>
      <c r="J20" s="13" t="s">
        <v>47</v>
      </c>
      <c r="K20" s="11" t="s">
        <v>275</v>
      </c>
      <c r="L20" s="11"/>
      <c r="M20" s="11" t="s">
        <v>132</v>
      </c>
      <c r="N20" s="11"/>
    </row>
    <row r="21" customFormat="false" ht="45.75" hidden="false" customHeight="true" outlineLevel="0" collapsed="false">
      <c r="A21" s="11" t="s">
        <v>276</v>
      </c>
      <c r="B21" s="27"/>
      <c r="C21" s="11" t="s">
        <v>252</v>
      </c>
      <c r="D21" s="11" t="s">
        <v>277</v>
      </c>
      <c r="E21" s="11" t="s">
        <v>278</v>
      </c>
      <c r="F21" s="11" t="s">
        <v>279</v>
      </c>
      <c r="G21" s="11" t="s">
        <v>280</v>
      </c>
      <c r="H21" s="11" t="s">
        <v>281</v>
      </c>
      <c r="I21" s="11" t="s">
        <v>42</v>
      </c>
      <c r="J21" s="13" t="s">
        <v>47</v>
      </c>
      <c r="K21" s="11" t="s">
        <v>282</v>
      </c>
      <c r="L21" s="11"/>
      <c r="M21" s="11" t="s">
        <v>132</v>
      </c>
      <c r="N21" s="11" t="s">
        <v>283</v>
      </c>
    </row>
    <row r="22" customFormat="false" ht="45.75" hidden="false" customHeight="true" outlineLevel="0" collapsed="false">
      <c r="A22" s="11" t="s">
        <v>284</v>
      </c>
      <c r="B22" s="27"/>
      <c r="C22" s="11" t="s">
        <v>252</v>
      </c>
      <c r="D22" s="11" t="s">
        <v>285</v>
      </c>
      <c r="E22" s="11" t="s">
        <v>286</v>
      </c>
      <c r="F22" s="11" t="s">
        <v>287</v>
      </c>
      <c r="G22" s="11" t="s">
        <v>288</v>
      </c>
      <c r="H22" s="11" t="s">
        <v>289</v>
      </c>
      <c r="I22" s="11"/>
      <c r="J22" s="13" t="s">
        <v>47</v>
      </c>
      <c r="K22" s="11" t="s">
        <v>290</v>
      </c>
      <c r="L22" s="11"/>
      <c r="M22" s="11" t="s">
        <v>132</v>
      </c>
      <c r="N22" s="11" t="s">
        <v>291</v>
      </c>
    </row>
    <row r="23" customFormat="false" ht="45.75" hidden="false" customHeight="true" outlineLevel="0" collapsed="false">
      <c r="A23" s="11" t="s">
        <v>292</v>
      </c>
      <c r="B23" s="27"/>
      <c r="C23" s="11" t="s">
        <v>252</v>
      </c>
      <c r="D23" s="11" t="s">
        <v>293</v>
      </c>
      <c r="E23" s="11" t="s">
        <v>294</v>
      </c>
      <c r="F23" s="11" t="s">
        <v>295</v>
      </c>
      <c r="G23" s="11" t="s">
        <v>296</v>
      </c>
      <c r="H23" s="11" t="s">
        <v>297</v>
      </c>
      <c r="I23" s="11"/>
      <c r="J23" s="13" t="s">
        <v>47</v>
      </c>
      <c r="K23" s="11" t="s">
        <v>298</v>
      </c>
      <c r="L23" s="11" t="s">
        <v>299</v>
      </c>
      <c r="M23" s="11" t="s">
        <v>132</v>
      </c>
      <c r="N23" s="11" t="s">
        <v>300</v>
      </c>
    </row>
    <row r="24" customFormat="false" ht="45.75" hidden="false" customHeight="true" outlineLevel="0" collapsed="false">
      <c r="A24" s="11" t="s">
        <v>301</v>
      </c>
      <c r="B24" s="27"/>
      <c r="C24" s="11" t="s">
        <v>252</v>
      </c>
      <c r="D24" s="11" t="s">
        <v>302</v>
      </c>
      <c r="E24" s="11" t="s">
        <v>303</v>
      </c>
      <c r="F24" s="11" t="s">
        <v>304</v>
      </c>
      <c r="G24" s="11" t="s">
        <v>305</v>
      </c>
      <c r="H24" s="11" t="s">
        <v>306</v>
      </c>
      <c r="I24" s="11" t="s">
        <v>42</v>
      </c>
      <c r="J24" s="13" t="s">
        <v>47</v>
      </c>
      <c r="K24" s="11" t="s">
        <v>307</v>
      </c>
      <c r="L24" s="11"/>
      <c r="M24" s="11" t="s">
        <v>132</v>
      </c>
      <c r="N24" s="11" t="s">
        <v>249</v>
      </c>
    </row>
    <row r="25" customFormat="false" ht="45.75" hidden="false" customHeight="true" outlineLevel="0" collapsed="false">
      <c r="A25" s="11" t="s">
        <v>308</v>
      </c>
      <c r="B25" s="27"/>
      <c r="C25" s="11" t="s">
        <v>309</v>
      </c>
      <c r="D25" s="11" t="s">
        <v>310</v>
      </c>
      <c r="E25" s="11" t="s">
        <v>311</v>
      </c>
      <c r="F25" s="11" t="s">
        <v>312</v>
      </c>
      <c r="G25" s="11" t="s">
        <v>313</v>
      </c>
      <c r="H25" s="11" t="s">
        <v>314</v>
      </c>
      <c r="I25" s="11"/>
      <c r="J25" s="13" t="s">
        <v>102</v>
      </c>
      <c r="K25" s="11" t="s">
        <v>315</v>
      </c>
      <c r="L25" s="11"/>
      <c r="M25" s="11" t="s">
        <v>132</v>
      </c>
      <c r="N25" s="11" t="s">
        <v>316</v>
      </c>
    </row>
    <row r="26" customFormat="false" ht="45.75" hidden="false" customHeight="true" outlineLevel="0" collapsed="false">
      <c r="A26" s="11" t="s">
        <v>317</v>
      </c>
      <c r="B26" s="27"/>
      <c r="C26" s="11" t="s">
        <v>309</v>
      </c>
      <c r="D26" s="11" t="s">
        <v>318</v>
      </c>
      <c r="E26" s="11" t="s">
        <v>319</v>
      </c>
      <c r="F26" s="11" t="s">
        <v>320</v>
      </c>
      <c r="G26" s="11" t="s">
        <v>321</v>
      </c>
      <c r="H26" s="11" t="s">
        <v>322</v>
      </c>
      <c r="I26" s="11"/>
      <c r="J26" s="13" t="s">
        <v>102</v>
      </c>
      <c r="K26" s="11" t="s">
        <v>323</v>
      </c>
      <c r="L26" s="11"/>
      <c r="M26" s="11" t="s">
        <v>132</v>
      </c>
      <c r="N26" s="11"/>
    </row>
    <row r="27" customFormat="false" ht="45.75" hidden="false" customHeight="true" outlineLevel="0" collapsed="false">
      <c r="A27" s="11" t="s">
        <v>324</v>
      </c>
      <c r="B27" s="27"/>
      <c r="C27" s="11" t="s">
        <v>309</v>
      </c>
      <c r="D27" s="11" t="s">
        <v>325</v>
      </c>
      <c r="E27" s="11" t="s">
        <v>326</v>
      </c>
      <c r="F27" s="11" t="s">
        <v>327</v>
      </c>
      <c r="G27" s="11" t="s">
        <v>328</v>
      </c>
      <c r="H27" s="11" t="s">
        <v>329</v>
      </c>
      <c r="I27" s="11"/>
      <c r="J27" s="13" t="s">
        <v>47</v>
      </c>
      <c r="K27" s="11" t="s">
        <v>330</v>
      </c>
      <c r="L27" s="11"/>
      <c r="M27" s="11" t="s">
        <v>148</v>
      </c>
      <c r="N27" s="11" t="s">
        <v>331</v>
      </c>
    </row>
    <row r="28" customFormat="false" ht="45.75" hidden="false" customHeight="true" outlineLevel="0" collapsed="false">
      <c r="A28" s="11" t="s">
        <v>332</v>
      </c>
      <c r="B28" s="27"/>
      <c r="C28" s="11" t="s">
        <v>252</v>
      </c>
      <c r="D28" s="11" t="s">
        <v>333</v>
      </c>
      <c r="E28" s="11" t="s">
        <v>334</v>
      </c>
      <c r="F28" s="11" t="s">
        <v>335</v>
      </c>
      <c r="G28" s="11" t="s">
        <v>336</v>
      </c>
      <c r="H28" s="11" t="s">
        <v>337</v>
      </c>
      <c r="I28" s="11" t="s">
        <v>338</v>
      </c>
      <c r="J28" s="13" t="s">
        <v>102</v>
      </c>
      <c r="K28" s="11" t="s">
        <v>339</v>
      </c>
      <c r="L28" s="11" t="s">
        <v>340</v>
      </c>
      <c r="M28" s="11" t="s">
        <v>132</v>
      </c>
      <c r="N28" s="11" t="s">
        <v>341</v>
      </c>
    </row>
    <row r="29" customFormat="false" ht="45.75" hidden="false" customHeight="true" outlineLevel="0" collapsed="false">
      <c r="A29" s="11" t="s">
        <v>342</v>
      </c>
      <c r="B29" s="27"/>
      <c r="C29" s="11" t="s">
        <v>252</v>
      </c>
      <c r="D29" s="11" t="s">
        <v>343</v>
      </c>
      <c r="E29" s="11" t="s">
        <v>344</v>
      </c>
      <c r="F29" s="11" t="s">
        <v>345</v>
      </c>
      <c r="G29" s="11" t="s">
        <v>346</v>
      </c>
      <c r="H29" s="11" t="s">
        <v>347</v>
      </c>
      <c r="I29" s="11"/>
      <c r="J29" s="13" t="s">
        <v>47</v>
      </c>
      <c r="K29" s="11" t="s">
        <v>348</v>
      </c>
      <c r="L29" s="11" t="s">
        <v>349</v>
      </c>
      <c r="M29" s="11" t="s">
        <v>132</v>
      </c>
      <c r="N29" s="11" t="s">
        <v>350</v>
      </c>
    </row>
    <row r="30" customFormat="false" ht="45.75" hidden="false" customHeight="true" outlineLevel="0" collapsed="false">
      <c r="A30" s="11" t="s">
        <v>351</v>
      </c>
      <c r="B30" s="27"/>
      <c r="C30" s="11" t="s">
        <v>252</v>
      </c>
      <c r="D30" s="11" t="s">
        <v>352</v>
      </c>
      <c r="E30" s="11" t="s">
        <v>353</v>
      </c>
      <c r="F30" s="11" t="s">
        <v>354</v>
      </c>
      <c r="G30" s="11" t="s">
        <v>355</v>
      </c>
      <c r="H30" s="11" t="s">
        <v>356</v>
      </c>
      <c r="I30" s="11"/>
      <c r="J30" s="13" t="s">
        <v>102</v>
      </c>
      <c r="K30" s="11" t="s">
        <v>357</v>
      </c>
      <c r="L30" s="11"/>
      <c r="M30" s="11" t="s">
        <v>132</v>
      </c>
      <c r="N30" s="11" t="s">
        <v>358</v>
      </c>
    </row>
    <row r="31" customFormat="false" ht="45.75" hidden="false" customHeight="true" outlineLevel="0" collapsed="false">
      <c r="A31" s="11" t="s">
        <v>359</v>
      </c>
      <c r="B31" s="27" t="s">
        <v>360</v>
      </c>
      <c r="C31" s="11" t="s">
        <v>361</v>
      </c>
      <c r="D31" s="11" t="s">
        <v>362</v>
      </c>
      <c r="E31" s="11" t="s">
        <v>363</v>
      </c>
      <c r="F31" s="11" t="s">
        <v>364</v>
      </c>
      <c r="G31" s="11" t="s">
        <v>365</v>
      </c>
      <c r="H31" s="11" t="s">
        <v>366</v>
      </c>
      <c r="I31" s="11"/>
      <c r="J31" s="13" t="s">
        <v>47</v>
      </c>
      <c r="K31" s="11" t="s">
        <v>367</v>
      </c>
      <c r="L31" s="11"/>
      <c r="M31" s="11" t="s">
        <v>368</v>
      </c>
      <c r="N31" s="11" t="s">
        <v>198</v>
      </c>
    </row>
    <row r="32" customFormat="false" ht="45.75" hidden="false" customHeight="true" outlineLevel="0" collapsed="false">
      <c r="A32" s="11" t="s">
        <v>369</v>
      </c>
      <c r="B32" s="27"/>
      <c r="C32" s="11" t="s">
        <v>370</v>
      </c>
      <c r="D32" s="11" t="s">
        <v>371</v>
      </c>
      <c r="E32" s="11" t="s">
        <v>372</v>
      </c>
      <c r="F32" s="11" t="s">
        <v>373</v>
      </c>
      <c r="G32" s="11" t="s">
        <v>374</v>
      </c>
      <c r="H32" s="11" t="s">
        <v>375</v>
      </c>
      <c r="I32" s="11" t="s">
        <v>376</v>
      </c>
      <c r="J32" s="13" t="s">
        <v>47</v>
      </c>
      <c r="K32" s="11" t="s">
        <v>377</v>
      </c>
      <c r="L32" s="11"/>
      <c r="M32" s="11" t="s">
        <v>148</v>
      </c>
      <c r="N32" s="11" t="s">
        <v>378</v>
      </c>
    </row>
    <row r="33" customFormat="false" ht="45.75" hidden="false" customHeight="true" outlineLevel="0" collapsed="false">
      <c r="A33" s="11" t="s">
        <v>379</v>
      </c>
      <c r="B33" s="27"/>
      <c r="C33" s="11" t="s">
        <v>370</v>
      </c>
      <c r="D33" s="11" t="s">
        <v>380</v>
      </c>
      <c r="E33" s="11" t="s">
        <v>381</v>
      </c>
      <c r="F33" s="11" t="s">
        <v>382</v>
      </c>
      <c r="G33" s="11" t="s">
        <v>383</v>
      </c>
      <c r="H33" s="11" t="s">
        <v>384</v>
      </c>
      <c r="I33" s="11"/>
      <c r="J33" s="13" t="s">
        <v>47</v>
      </c>
      <c r="K33" s="11" t="s">
        <v>385</v>
      </c>
      <c r="L33" s="11"/>
      <c r="M33" s="11" t="s">
        <v>148</v>
      </c>
      <c r="N33" s="11" t="s">
        <v>386</v>
      </c>
    </row>
    <row r="34" customFormat="false" ht="45.75" hidden="false" customHeight="true" outlineLevel="0" collapsed="false">
      <c r="A34" s="11" t="s">
        <v>387</v>
      </c>
      <c r="B34" s="27"/>
      <c r="C34" s="11" t="s">
        <v>388</v>
      </c>
      <c r="D34" s="11" t="s">
        <v>389</v>
      </c>
      <c r="E34" s="11" t="s">
        <v>390</v>
      </c>
      <c r="F34" s="11" t="s">
        <v>391</v>
      </c>
      <c r="G34" s="11" t="s">
        <v>392</v>
      </c>
      <c r="H34" s="11" t="s">
        <v>393</v>
      </c>
      <c r="I34" s="11"/>
      <c r="J34" s="13" t="s">
        <v>47</v>
      </c>
      <c r="K34" s="11" t="s">
        <v>394</v>
      </c>
      <c r="L34" s="11"/>
      <c r="M34" s="11" t="s">
        <v>148</v>
      </c>
      <c r="N34" s="11" t="s">
        <v>395</v>
      </c>
    </row>
    <row r="35" customFormat="false" ht="45.75" hidden="false" customHeight="true" outlineLevel="0" collapsed="false">
      <c r="A35" s="11" t="s">
        <v>396</v>
      </c>
      <c r="B35" s="27"/>
      <c r="C35" s="11" t="s">
        <v>388</v>
      </c>
      <c r="D35" s="11" t="s">
        <v>397</v>
      </c>
      <c r="E35" s="11" t="s">
        <v>398</v>
      </c>
      <c r="F35" s="11" t="s">
        <v>399</v>
      </c>
      <c r="G35" s="11" t="s">
        <v>400</v>
      </c>
      <c r="H35" s="11" t="s">
        <v>401</v>
      </c>
      <c r="I35" s="11"/>
      <c r="J35" s="13" t="s">
        <v>47</v>
      </c>
      <c r="K35" s="11" t="s">
        <v>402</v>
      </c>
      <c r="L35" s="11"/>
      <c r="M35" s="11" t="s">
        <v>148</v>
      </c>
      <c r="N35" s="11" t="s">
        <v>403</v>
      </c>
    </row>
    <row r="36" customFormat="false" ht="45.75" hidden="false" customHeight="true" outlineLevel="0" collapsed="false">
      <c r="A36" s="11" t="s">
        <v>404</v>
      </c>
      <c r="B36" s="27"/>
      <c r="C36" s="11" t="s">
        <v>388</v>
      </c>
      <c r="D36" s="11" t="s">
        <v>405</v>
      </c>
      <c r="E36" s="11" t="s">
        <v>406</v>
      </c>
      <c r="F36" s="11" t="s">
        <v>407</v>
      </c>
      <c r="G36" s="11" t="s">
        <v>408</v>
      </c>
      <c r="H36" s="11" t="s">
        <v>409</v>
      </c>
      <c r="I36" s="11"/>
      <c r="J36" s="13" t="s">
        <v>102</v>
      </c>
      <c r="K36" s="11" t="s">
        <v>410</v>
      </c>
      <c r="L36" s="11" t="s">
        <v>411</v>
      </c>
      <c r="M36" s="11" t="s">
        <v>148</v>
      </c>
      <c r="N36" s="11"/>
    </row>
    <row r="37" customFormat="false" ht="45.75" hidden="false" customHeight="true" outlineLevel="0" collapsed="false">
      <c r="A37" s="11" t="s">
        <v>412</v>
      </c>
      <c r="B37" s="27"/>
      <c r="C37" s="11" t="s">
        <v>361</v>
      </c>
      <c r="D37" s="11" t="s">
        <v>413</v>
      </c>
      <c r="E37" s="11" t="s">
        <v>414</v>
      </c>
      <c r="F37" s="11" t="s">
        <v>415</v>
      </c>
      <c r="G37" s="11" t="s">
        <v>416</v>
      </c>
      <c r="H37" s="11" t="s">
        <v>417</v>
      </c>
      <c r="I37" s="11"/>
      <c r="J37" s="13" t="s">
        <v>47</v>
      </c>
      <c r="K37" s="11" t="s">
        <v>418</v>
      </c>
      <c r="L37" s="11"/>
      <c r="M37" s="11" t="s">
        <v>368</v>
      </c>
      <c r="N37" s="11"/>
    </row>
    <row r="38" customFormat="false" ht="45.75" hidden="false" customHeight="true" outlineLevel="0" collapsed="false">
      <c r="A38" s="11" t="s">
        <v>419</v>
      </c>
      <c r="B38" s="27"/>
      <c r="C38" s="11" t="s">
        <v>361</v>
      </c>
      <c r="D38" s="11" t="s">
        <v>420</v>
      </c>
      <c r="E38" s="11" t="s">
        <v>421</v>
      </c>
      <c r="F38" s="11" t="s">
        <v>422</v>
      </c>
      <c r="G38" s="11" t="s">
        <v>423</v>
      </c>
      <c r="H38" s="11" t="s">
        <v>424</v>
      </c>
      <c r="I38" s="11"/>
      <c r="J38" s="13" t="s">
        <v>102</v>
      </c>
      <c r="K38" s="11" t="s">
        <v>425</v>
      </c>
      <c r="L38" s="11"/>
      <c r="M38" s="11" t="s">
        <v>368</v>
      </c>
      <c r="N38" s="11"/>
    </row>
    <row r="39" customFormat="false" ht="45.75" hidden="false" customHeight="true" outlineLevel="0" collapsed="false">
      <c r="A39" s="11" t="s">
        <v>426</v>
      </c>
      <c r="B39" s="27"/>
      <c r="C39" s="11" t="s">
        <v>427</v>
      </c>
      <c r="D39" s="11" t="s">
        <v>428</v>
      </c>
      <c r="E39" s="11" t="s">
        <v>429</v>
      </c>
      <c r="F39" s="11" t="s">
        <v>430</v>
      </c>
      <c r="G39" s="11" t="s">
        <v>431</v>
      </c>
      <c r="H39" s="11" t="s">
        <v>432</v>
      </c>
      <c r="I39" s="11" t="s">
        <v>433</v>
      </c>
      <c r="J39" s="13" t="s">
        <v>47</v>
      </c>
      <c r="K39" s="11" t="s">
        <v>434</v>
      </c>
      <c r="L39" s="11" t="s">
        <v>435</v>
      </c>
      <c r="M39" s="11" t="s">
        <v>368</v>
      </c>
      <c r="N39" s="11" t="s">
        <v>436</v>
      </c>
    </row>
    <row r="40" customFormat="false" ht="45.75" hidden="false" customHeight="true" outlineLevel="0" collapsed="false">
      <c r="A40" s="11" t="s">
        <v>437</v>
      </c>
      <c r="B40" s="27"/>
      <c r="C40" s="11" t="s">
        <v>427</v>
      </c>
      <c r="D40" s="11" t="s">
        <v>438</v>
      </c>
      <c r="E40" s="11" t="s">
        <v>439</v>
      </c>
      <c r="F40" s="11" t="s">
        <v>440</v>
      </c>
      <c r="G40" s="11" t="s">
        <v>441</v>
      </c>
      <c r="H40" s="11" t="s">
        <v>442</v>
      </c>
      <c r="I40" s="11"/>
      <c r="J40" s="13" t="s">
        <v>102</v>
      </c>
      <c r="K40" s="11" t="s">
        <v>443</v>
      </c>
      <c r="L40" s="11"/>
      <c r="M40" s="11" t="s">
        <v>368</v>
      </c>
      <c r="N40" s="11"/>
    </row>
    <row r="41" customFormat="false" ht="45.75" hidden="false" customHeight="true" outlineLevel="0" collapsed="false">
      <c r="A41" s="11" t="s">
        <v>444</v>
      </c>
      <c r="B41" s="27"/>
      <c r="C41" s="11" t="s">
        <v>361</v>
      </c>
      <c r="D41" s="11" t="s">
        <v>445</v>
      </c>
      <c r="E41" s="11" t="s">
        <v>446</v>
      </c>
      <c r="F41" s="11" t="s">
        <v>447</v>
      </c>
      <c r="G41" s="11" t="s">
        <v>448</v>
      </c>
      <c r="H41" s="11" t="s">
        <v>449</v>
      </c>
      <c r="I41" s="11"/>
      <c r="J41" s="13" t="s">
        <v>104</v>
      </c>
      <c r="K41" s="11" t="s">
        <v>450</v>
      </c>
      <c r="L41" s="11"/>
      <c r="M41" s="11" t="s">
        <v>368</v>
      </c>
      <c r="N41" s="11" t="s">
        <v>451</v>
      </c>
    </row>
    <row r="42" customFormat="false" ht="45.75" hidden="false" customHeight="true" outlineLevel="0" collapsed="false">
      <c r="A42" s="11" t="s">
        <v>452</v>
      </c>
      <c r="B42" s="27" t="s">
        <v>453</v>
      </c>
      <c r="C42" s="11" t="s">
        <v>454</v>
      </c>
      <c r="D42" s="11" t="s">
        <v>455</v>
      </c>
      <c r="E42" s="11" t="s">
        <v>456</v>
      </c>
      <c r="F42" s="11" t="s">
        <v>457</v>
      </c>
      <c r="G42" s="11" t="s">
        <v>458</v>
      </c>
      <c r="H42" s="11" t="s">
        <v>459</v>
      </c>
      <c r="I42" s="11"/>
      <c r="J42" s="13" t="s">
        <v>47</v>
      </c>
      <c r="K42" s="11" t="s">
        <v>460</v>
      </c>
      <c r="L42" s="11"/>
      <c r="M42" s="11" t="s">
        <v>368</v>
      </c>
      <c r="N42" s="11"/>
    </row>
    <row r="43" customFormat="false" ht="45.75" hidden="false" customHeight="true" outlineLevel="0" collapsed="false">
      <c r="A43" s="11" t="s">
        <v>461</v>
      </c>
      <c r="B43" s="27"/>
      <c r="C43" s="11" t="s">
        <v>454</v>
      </c>
      <c r="D43" s="11" t="s">
        <v>462</v>
      </c>
      <c r="E43" s="11" t="s">
        <v>463</v>
      </c>
      <c r="F43" s="11" t="s">
        <v>464</v>
      </c>
      <c r="G43" s="11" t="s">
        <v>465</v>
      </c>
      <c r="H43" s="11" t="s">
        <v>466</v>
      </c>
      <c r="I43" s="11"/>
      <c r="J43" s="13" t="s">
        <v>47</v>
      </c>
      <c r="K43" s="11" t="s">
        <v>467</v>
      </c>
      <c r="L43" s="11"/>
      <c r="M43" s="11" t="s">
        <v>368</v>
      </c>
      <c r="N43" s="11" t="s">
        <v>468</v>
      </c>
    </row>
    <row r="44" customFormat="false" ht="45.75" hidden="false" customHeight="true" outlineLevel="0" collapsed="false">
      <c r="A44" s="11" t="s">
        <v>469</v>
      </c>
      <c r="B44" s="27"/>
      <c r="C44" s="11" t="s">
        <v>470</v>
      </c>
      <c r="D44" s="11" t="s">
        <v>471</v>
      </c>
      <c r="E44" s="11" t="s">
        <v>472</v>
      </c>
      <c r="F44" s="11" t="s">
        <v>473</v>
      </c>
      <c r="G44" s="11" t="s">
        <v>474</v>
      </c>
      <c r="H44" s="11" t="s">
        <v>475</v>
      </c>
      <c r="I44" s="11" t="s">
        <v>433</v>
      </c>
      <c r="J44" s="13" t="s">
        <v>47</v>
      </c>
      <c r="K44" s="11" t="s">
        <v>476</v>
      </c>
      <c r="L44" s="11"/>
      <c r="M44" s="11" t="s">
        <v>148</v>
      </c>
      <c r="N44" s="11" t="s">
        <v>477</v>
      </c>
    </row>
    <row r="45" customFormat="false" ht="45.75" hidden="false" customHeight="true" outlineLevel="0" collapsed="false">
      <c r="A45" s="11" t="s">
        <v>478</v>
      </c>
      <c r="B45" s="27"/>
      <c r="C45" s="11" t="s">
        <v>470</v>
      </c>
      <c r="D45" s="11" t="s">
        <v>479</v>
      </c>
      <c r="E45" s="11" t="s">
        <v>480</v>
      </c>
      <c r="F45" s="11" t="s">
        <v>481</v>
      </c>
      <c r="G45" s="11" t="s">
        <v>482</v>
      </c>
      <c r="H45" s="11" t="s">
        <v>178</v>
      </c>
      <c r="I45" s="11"/>
      <c r="J45" s="13" t="s">
        <v>102</v>
      </c>
      <c r="K45" s="11" t="s">
        <v>483</v>
      </c>
      <c r="L45" s="11" t="s">
        <v>484</v>
      </c>
      <c r="M45" s="11" t="s">
        <v>148</v>
      </c>
      <c r="N45" s="11" t="s">
        <v>485</v>
      </c>
    </row>
    <row r="46" customFormat="false" ht="45.75" hidden="false" customHeight="true" outlineLevel="0" collapsed="false">
      <c r="A46" s="11" t="s">
        <v>486</v>
      </c>
      <c r="B46" s="27"/>
      <c r="C46" s="11" t="s">
        <v>454</v>
      </c>
      <c r="D46" s="11" t="s">
        <v>487</v>
      </c>
      <c r="E46" s="11" t="s">
        <v>488</v>
      </c>
      <c r="F46" s="11" t="s">
        <v>489</v>
      </c>
      <c r="G46" s="11" t="s">
        <v>490</v>
      </c>
      <c r="H46" s="11" t="s">
        <v>491</v>
      </c>
      <c r="I46" s="11"/>
      <c r="J46" s="13" t="s">
        <v>104</v>
      </c>
      <c r="K46" s="11" t="s">
        <v>492</v>
      </c>
      <c r="L46" s="11"/>
      <c r="M46" s="11" t="s">
        <v>368</v>
      </c>
      <c r="N46" s="11"/>
    </row>
    <row r="47" customFormat="false" ht="45.75" hidden="false" customHeight="true" outlineLevel="0" collapsed="false">
      <c r="A47" s="11" t="s">
        <v>493</v>
      </c>
      <c r="B47" s="27"/>
      <c r="C47" s="11" t="s">
        <v>494</v>
      </c>
      <c r="D47" s="11" t="s">
        <v>495</v>
      </c>
      <c r="E47" s="11" t="s">
        <v>496</v>
      </c>
      <c r="F47" s="11" t="s">
        <v>497</v>
      </c>
      <c r="G47" s="11" t="s">
        <v>498</v>
      </c>
      <c r="H47" s="11" t="s">
        <v>499</v>
      </c>
      <c r="I47" s="11" t="s">
        <v>433</v>
      </c>
      <c r="J47" s="13" t="s">
        <v>47</v>
      </c>
      <c r="K47" s="11" t="s">
        <v>500</v>
      </c>
      <c r="L47" s="11"/>
      <c r="M47" s="11" t="s">
        <v>368</v>
      </c>
      <c r="N47" s="11" t="s">
        <v>501</v>
      </c>
    </row>
    <row r="48" customFormat="false" ht="45.75" hidden="false" customHeight="true" outlineLevel="0" collapsed="false">
      <c r="A48" s="11" t="s">
        <v>502</v>
      </c>
      <c r="B48" s="27"/>
      <c r="C48" s="11" t="s">
        <v>494</v>
      </c>
      <c r="D48" s="11" t="s">
        <v>503</v>
      </c>
      <c r="E48" s="11" t="s">
        <v>504</v>
      </c>
      <c r="F48" s="11" t="s">
        <v>505</v>
      </c>
      <c r="G48" s="11" t="s">
        <v>506</v>
      </c>
      <c r="H48" s="11" t="s">
        <v>507</v>
      </c>
      <c r="I48" s="11" t="s">
        <v>433</v>
      </c>
      <c r="J48" s="13" t="s">
        <v>102</v>
      </c>
      <c r="K48" s="11" t="s">
        <v>508</v>
      </c>
      <c r="L48" s="11" t="s">
        <v>509</v>
      </c>
      <c r="M48" s="11" t="s">
        <v>368</v>
      </c>
      <c r="N48" s="11" t="s">
        <v>510</v>
      </c>
    </row>
    <row r="49" customFormat="false" ht="45.75" hidden="false" customHeight="true" outlineLevel="0" collapsed="false">
      <c r="A49" s="11" t="s">
        <v>511</v>
      </c>
      <c r="B49" s="27"/>
      <c r="C49" s="11" t="s">
        <v>494</v>
      </c>
      <c r="D49" s="11" t="s">
        <v>512</v>
      </c>
      <c r="E49" s="11" t="s">
        <v>513</v>
      </c>
      <c r="F49" s="11" t="s">
        <v>514</v>
      </c>
      <c r="G49" s="11" t="s">
        <v>515</v>
      </c>
      <c r="H49" s="11" t="s">
        <v>516</v>
      </c>
      <c r="I49" s="11"/>
      <c r="J49" s="13" t="s">
        <v>102</v>
      </c>
      <c r="K49" s="11" t="s">
        <v>517</v>
      </c>
      <c r="L49" s="11"/>
      <c r="M49" s="11" t="s">
        <v>368</v>
      </c>
      <c r="N49" s="11" t="s">
        <v>518</v>
      </c>
    </row>
    <row r="50" customFormat="false" ht="45.75" hidden="false" customHeight="true" outlineLevel="0" collapsed="false">
      <c r="A50" s="11" t="s">
        <v>519</v>
      </c>
      <c r="B50" s="27"/>
      <c r="C50" s="11" t="s">
        <v>494</v>
      </c>
      <c r="D50" s="11" t="s">
        <v>520</v>
      </c>
      <c r="E50" s="11" t="s">
        <v>521</v>
      </c>
      <c r="F50" s="11" t="s">
        <v>522</v>
      </c>
      <c r="G50" s="11" t="s">
        <v>523</v>
      </c>
      <c r="H50" s="11" t="s">
        <v>524</v>
      </c>
      <c r="I50" s="11" t="s">
        <v>433</v>
      </c>
      <c r="J50" s="13" t="s">
        <v>104</v>
      </c>
      <c r="K50" s="11" t="s">
        <v>525</v>
      </c>
      <c r="L50" s="11"/>
      <c r="M50" s="11" t="s">
        <v>368</v>
      </c>
      <c r="N50" s="11"/>
    </row>
    <row r="51" customFormat="false" ht="45.75" hidden="false" customHeight="true" outlineLevel="0" collapsed="false">
      <c r="A51" s="11" t="s">
        <v>526</v>
      </c>
      <c r="B51" s="27"/>
      <c r="C51" s="11" t="s">
        <v>454</v>
      </c>
      <c r="D51" s="11" t="s">
        <v>527</v>
      </c>
      <c r="E51" s="11" t="s">
        <v>528</v>
      </c>
      <c r="F51" s="11" t="s">
        <v>528</v>
      </c>
      <c r="G51" s="11" t="s">
        <v>528</v>
      </c>
      <c r="H51" s="11" t="s">
        <v>528</v>
      </c>
      <c r="I51" s="11" t="s">
        <v>529</v>
      </c>
      <c r="J51" s="13" t="s">
        <v>106</v>
      </c>
      <c r="K51" s="11" t="s">
        <v>530</v>
      </c>
      <c r="L51" s="11" t="s">
        <v>531</v>
      </c>
      <c r="M51" s="11" t="s">
        <v>368</v>
      </c>
      <c r="N51" s="11" t="s">
        <v>532</v>
      </c>
    </row>
    <row r="52" customFormat="false" ht="45.75" hidden="false" customHeight="true" outlineLevel="0" collapsed="false">
      <c r="A52" s="11" t="s">
        <v>533</v>
      </c>
      <c r="B52" s="27" t="s">
        <v>534</v>
      </c>
      <c r="C52" s="11" t="s">
        <v>535</v>
      </c>
      <c r="D52" s="11" t="s">
        <v>536</v>
      </c>
      <c r="E52" s="11" t="s">
        <v>537</v>
      </c>
      <c r="F52" s="11" t="s">
        <v>538</v>
      </c>
      <c r="G52" s="11" t="s">
        <v>539</v>
      </c>
      <c r="H52" s="11" t="s">
        <v>540</v>
      </c>
      <c r="I52" s="11" t="s">
        <v>433</v>
      </c>
      <c r="J52" s="13" t="s">
        <v>47</v>
      </c>
      <c r="K52" s="11" t="s">
        <v>541</v>
      </c>
      <c r="L52" s="11" t="s">
        <v>542</v>
      </c>
      <c r="M52" s="11" t="s">
        <v>543</v>
      </c>
      <c r="N52" s="11" t="s">
        <v>544</v>
      </c>
    </row>
    <row r="53" customFormat="false" ht="45.75" hidden="false" customHeight="true" outlineLevel="0" collapsed="false">
      <c r="A53" s="11" t="s">
        <v>545</v>
      </c>
      <c r="B53" s="27"/>
      <c r="C53" s="11" t="s">
        <v>546</v>
      </c>
      <c r="D53" s="11" t="s">
        <v>547</v>
      </c>
      <c r="E53" s="11" t="s">
        <v>548</v>
      </c>
      <c r="F53" s="11" t="s">
        <v>549</v>
      </c>
      <c r="G53" s="11" t="s">
        <v>550</v>
      </c>
      <c r="H53" s="11" t="s">
        <v>551</v>
      </c>
      <c r="I53" s="11" t="s">
        <v>42</v>
      </c>
      <c r="J53" s="13" t="s">
        <v>47</v>
      </c>
      <c r="K53" s="11" t="s">
        <v>552</v>
      </c>
      <c r="L53" s="11"/>
      <c r="M53" s="11" t="s">
        <v>543</v>
      </c>
      <c r="N53" s="11" t="s">
        <v>283</v>
      </c>
    </row>
    <row r="54" customFormat="false" ht="45.75" hidden="false" customHeight="true" outlineLevel="0" collapsed="false">
      <c r="A54" s="11" t="s">
        <v>553</v>
      </c>
      <c r="B54" s="27"/>
      <c r="C54" s="11" t="s">
        <v>554</v>
      </c>
      <c r="D54" s="11" t="s">
        <v>555</v>
      </c>
      <c r="E54" s="11" t="s">
        <v>556</v>
      </c>
      <c r="F54" s="11" t="s">
        <v>557</v>
      </c>
      <c r="G54" s="11" t="s">
        <v>558</v>
      </c>
      <c r="H54" s="11" t="s">
        <v>559</v>
      </c>
      <c r="I54" s="11"/>
      <c r="J54" s="13" t="s">
        <v>102</v>
      </c>
      <c r="K54" s="11" t="s">
        <v>560</v>
      </c>
      <c r="L54" s="11" t="s">
        <v>561</v>
      </c>
      <c r="M54" s="11" t="s">
        <v>132</v>
      </c>
      <c r="N54" s="11"/>
    </row>
    <row r="55" customFormat="false" ht="45.75" hidden="false" customHeight="true" outlineLevel="0" collapsed="false">
      <c r="A55" s="11" t="s">
        <v>562</v>
      </c>
      <c r="B55" s="27"/>
      <c r="C55" s="11" t="s">
        <v>554</v>
      </c>
      <c r="D55" s="11" t="s">
        <v>563</v>
      </c>
      <c r="E55" s="11" t="s">
        <v>564</v>
      </c>
      <c r="F55" s="11" t="s">
        <v>565</v>
      </c>
      <c r="G55" s="11" t="s">
        <v>566</v>
      </c>
      <c r="H55" s="11" t="s">
        <v>567</v>
      </c>
      <c r="I55" s="11"/>
      <c r="J55" s="13" t="s">
        <v>47</v>
      </c>
      <c r="K55" s="11" t="s">
        <v>568</v>
      </c>
      <c r="L55" s="11"/>
      <c r="M55" s="11" t="s">
        <v>132</v>
      </c>
      <c r="N55" s="11" t="s">
        <v>569</v>
      </c>
    </row>
    <row r="56" customFormat="false" ht="45.75" hidden="false" customHeight="true" outlineLevel="0" collapsed="false">
      <c r="A56" s="11" t="s">
        <v>570</v>
      </c>
      <c r="B56" s="27"/>
      <c r="C56" s="11" t="s">
        <v>554</v>
      </c>
      <c r="D56" s="11" t="s">
        <v>571</v>
      </c>
      <c r="E56" s="11" t="s">
        <v>572</v>
      </c>
      <c r="F56" s="11" t="s">
        <v>573</v>
      </c>
      <c r="G56" s="11" t="s">
        <v>574</v>
      </c>
      <c r="H56" s="11" t="s">
        <v>575</v>
      </c>
      <c r="I56" s="11"/>
      <c r="J56" s="13" t="s">
        <v>102</v>
      </c>
      <c r="K56" s="11" t="s">
        <v>576</v>
      </c>
      <c r="L56" s="11" t="s">
        <v>577</v>
      </c>
      <c r="M56" s="11" t="s">
        <v>132</v>
      </c>
      <c r="N56" s="11" t="s">
        <v>578</v>
      </c>
    </row>
    <row r="57" customFormat="false" ht="45.75" hidden="false" customHeight="true" outlineLevel="0" collapsed="false">
      <c r="A57" s="11" t="s">
        <v>579</v>
      </c>
      <c r="B57" s="27"/>
      <c r="C57" s="11" t="s">
        <v>580</v>
      </c>
      <c r="D57" s="11" t="s">
        <v>581</v>
      </c>
      <c r="E57" s="11" t="s">
        <v>582</v>
      </c>
      <c r="F57" s="11" t="s">
        <v>583</v>
      </c>
      <c r="G57" s="11" t="s">
        <v>584</v>
      </c>
      <c r="H57" s="11" t="s">
        <v>585</v>
      </c>
      <c r="I57" s="11" t="s">
        <v>42</v>
      </c>
      <c r="J57" s="13" t="s">
        <v>47</v>
      </c>
      <c r="K57" s="11" t="s">
        <v>586</v>
      </c>
      <c r="L57" s="11"/>
      <c r="M57" s="11" t="s">
        <v>148</v>
      </c>
      <c r="N57" s="11" t="s">
        <v>283</v>
      </c>
    </row>
    <row r="58" customFormat="false" ht="45.75" hidden="false" customHeight="true" outlineLevel="0" collapsed="false">
      <c r="A58" s="11" t="s">
        <v>587</v>
      </c>
      <c r="B58" s="27"/>
      <c r="C58" s="11" t="s">
        <v>580</v>
      </c>
      <c r="D58" s="11" t="s">
        <v>588</v>
      </c>
      <c r="E58" s="11" t="s">
        <v>589</v>
      </c>
      <c r="F58" s="11" t="s">
        <v>590</v>
      </c>
      <c r="G58" s="11" t="s">
        <v>591</v>
      </c>
      <c r="H58" s="11" t="s">
        <v>592</v>
      </c>
      <c r="I58" s="11" t="s">
        <v>42</v>
      </c>
      <c r="J58" s="13" t="s">
        <v>47</v>
      </c>
      <c r="K58" s="11" t="s">
        <v>593</v>
      </c>
      <c r="L58" s="11"/>
      <c r="M58" s="11" t="s">
        <v>148</v>
      </c>
      <c r="N58" s="11" t="s">
        <v>594</v>
      </c>
    </row>
    <row r="59" customFormat="false" ht="45.75" hidden="false" customHeight="true" outlineLevel="0" collapsed="false">
      <c r="A59" s="11" t="s">
        <v>595</v>
      </c>
      <c r="B59" s="27"/>
      <c r="C59" s="11" t="s">
        <v>535</v>
      </c>
      <c r="D59" s="11" t="s">
        <v>596</v>
      </c>
      <c r="E59" s="11" t="s">
        <v>597</v>
      </c>
      <c r="F59" s="11" t="s">
        <v>598</v>
      </c>
      <c r="G59" s="11" t="s">
        <v>599</v>
      </c>
      <c r="H59" s="11" t="s">
        <v>600</v>
      </c>
      <c r="I59" s="11" t="s">
        <v>529</v>
      </c>
      <c r="J59" s="13" t="s">
        <v>104</v>
      </c>
      <c r="K59" s="11" t="s">
        <v>601</v>
      </c>
      <c r="L59" s="11"/>
      <c r="M59" s="11" t="s">
        <v>543</v>
      </c>
      <c r="N59" s="11"/>
    </row>
    <row r="60" customFormat="false" ht="45.75" hidden="false" customHeight="true" outlineLevel="0" collapsed="false">
      <c r="A60" s="11" t="s">
        <v>602</v>
      </c>
      <c r="B60" s="27"/>
      <c r="C60" s="11" t="s">
        <v>580</v>
      </c>
      <c r="D60" s="11" t="s">
        <v>603</v>
      </c>
      <c r="E60" s="11" t="s">
        <v>604</v>
      </c>
      <c r="F60" s="11" t="s">
        <v>605</v>
      </c>
      <c r="G60" s="11" t="s">
        <v>606</v>
      </c>
      <c r="H60" s="11" t="s">
        <v>607</v>
      </c>
      <c r="I60" s="11"/>
      <c r="J60" s="13" t="s">
        <v>102</v>
      </c>
      <c r="K60" s="11" t="s">
        <v>608</v>
      </c>
      <c r="L60" s="11"/>
      <c r="M60" s="11" t="s">
        <v>368</v>
      </c>
      <c r="N60" s="11" t="s">
        <v>609</v>
      </c>
    </row>
    <row r="61" customFormat="false" ht="45.75" hidden="false" customHeight="true" outlineLevel="0" collapsed="false">
      <c r="A61" s="11" t="s">
        <v>610</v>
      </c>
      <c r="B61" s="27"/>
      <c r="C61" s="11" t="s">
        <v>611</v>
      </c>
      <c r="D61" s="11" t="s">
        <v>612</v>
      </c>
      <c r="E61" s="11" t="s">
        <v>613</v>
      </c>
      <c r="F61" s="11" t="s">
        <v>614</v>
      </c>
      <c r="G61" s="11" t="s">
        <v>615</v>
      </c>
      <c r="H61" s="11" t="s">
        <v>616</v>
      </c>
      <c r="I61" s="11" t="s">
        <v>338</v>
      </c>
      <c r="J61" s="13" t="s">
        <v>47</v>
      </c>
      <c r="K61" s="11" t="s">
        <v>617</v>
      </c>
      <c r="L61" s="11" t="s">
        <v>618</v>
      </c>
      <c r="M61" s="11" t="s">
        <v>148</v>
      </c>
      <c r="N61" s="11" t="s">
        <v>341</v>
      </c>
    </row>
    <row r="62" customFormat="false" ht="45.75" hidden="false" customHeight="true" outlineLevel="0" collapsed="false">
      <c r="A62" s="11" t="s">
        <v>619</v>
      </c>
      <c r="B62" s="27"/>
      <c r="C62" s="11" t="s">
        <v>580</v>
      </c>
      <c r="D62" s="11" t="s">
        <v>620</v>
      </c>
      <c r="E62" s="11" t="s">
        <v>528</v>
      </c>
      <c r="F62" s="11" t="s">
        <v>528</v>
      </c>
      <c r="G62" s="11" t="s">
        <v>528</v>
      </c>
      <c r="H62" s="11" t="s">
        <v>528</v>
      </c>
      <c r="I62" s="11"/>
      <c r="J62" s="13" t="s">
        <v>106</v>
      </c>
      <c r="K62" s="11" t="s">
        <v>621</v>
      </c>
      <c r="L62" s="11" t="s">
        <v>531</v>
      </c>
      <c r="M62" s="11" t="s">
        <v>148</v>
      </c>
      <c r="N62" s="11"/>
    </row>
    <row r="63" customFormat="false" ht="45.75" hidden="false" customHeight="true" outlineLevel="0" collapsed="false">
      <c r="A63" s="11" t="s">
        <v>622</v>
      </c>
      <c r="B63" s="27" t="s">
        <v>623</v>
      </c>
      <c r="C63" s="11" t="s">
        <v>624</v>
      </c>
      <c r="D63" s="11" t="s">
        <v>625</v>
      </c>
      <c r="E63" s="11" t="s">
        <v>626</v>
      </c>
      <c r="F63" s="11" t="s">
        <v>627</v>
      </c>
      <c r="G63" s="11" t="s">
        <v>628</v>
      </c>
      <c r="H63" s="11" t="s">
        <v>629</v>
      </c>
      <c r="I63" s="11" t="s">
        <v>338</v>
      </c>
      <c r="J63" s="13" t="s">
        <v>102</v>
      </c>
      <c r="K63" s="11" t="s">
        <v>630</v>
      </c>
      <c r="L63" s="11"/>
      <c r="M63" s="11" t="s">
        <v>368</v>
      </c>
      <c r="N63" s="11" t="s">
        <v>631</v>
      </c>
    </row>
    <row r="64" customFormat="false" ht="45.75" hidden="false" customHeight="true" outlineLevel="0" collapsed="false">
      <c r="A64" s="11" t="s">
        <v>632</v>
      </c>
      <c r="B64" s="27"/>
      <c r="C64" s="11" t="s">
        <v>624</v>
      </c>
      <c r="D64" s="11" t="s">
        <v>633</v>
      </c>
      <c r="E64" s="11" t="s">
        <v>634</v>
      </c>
      <c r="F64" s="11" t="s">
        <v>635</v>
      </c>
      <c r="G64" s="11" t="s">
        <v>636</v>
      </c>
      <c r="H64" s="11" t="s">
        <v>637</v>
      </c>
      <c r="I64" s="11" t="s">
        <v>338</v>
      </c>
      <c r="J64" s="13" t="s">
        <v>47</v>
      </c>
      <c r="K64" s="11" t="s">
        <v>638</v>
      </c>
      <c r="L64" s="11" t="s">
        <v>639</v>
      </c>
      <c r="M64" s="11" t="s">
        <v>368</v>
      </c>
      <c r="N64" s="11" t="s">
        <v>640</v>
      </c>
    </row>
    <row r="65" customFormat="false" ht="45.75" hidden="false" customHeight="true" outlineLevel="0" collapsed="false">
      <c r="A65" s="11" t="s">
        <v>641</v>
      </c>
      <c r="B65" s="27"/>
      <c r="C65" s="11" t="s">
        <v>642</v>
      </c>
      <c r="D65" s="11" t="s">
        <v>643</v>
      </c>
      <c r="E65" s="11" t="s">
        <v>644</v>
      </c>
      <c r="F65" s="11" t="s">
        <v>645</v>
      </c>
      <c r="G65" s="11" t="s">
        <v>646</v>
      </c>
      <c r="H65" s="11" t="s">
        <v>274</v>
      </c>
      <c r="I65" s="11"/>
      <c r="J65" s="13" t="s">
        <v>102</v>
      </c>
      <c r="K65" s="11" t="s">
        <v>647</v>
      </c>
      <c r="L65" s="11"/>
      <c r="M65" s="11" t="s">
        <v>368</v>
      </c>
      <c r="N65" s="11"/>
    </row>
    <row r="66" customFormat="false" ht="45.75" hidden="false" customHeight="true" outlineLevel="0" collapsed="false">
      <c r="A66" s="11" t="s">
        <v>648</v>
      </c>
      <c r="B66" s="27"/>
      <c r="C66" s="11" t="s">
        <v>642</v>
      </c>
      <c r="D66" s="11" t="s">
        <v>649</v>
      </c>
      <c r="E66" s="11" t="s">
        <v>650</v>
      </c>
      <c r="F66" s="11" t="s">
        <v>651</v>
      </c>
      <c r="G66" s="11" t="s">
        <v>652</v>
      </c>
      <c r="H66" s="11" t="s">
        <v>653</v>
      </c>
      <c r="I66" s="11"/>
      <c r="J66" s="13" t="s">
        <v>102</v>
      </c>
      <c r="K66" s="11" t="s">
        <v>654</v>
      </c>
      <c r="L66" s="11"/>
      <c r="M66" s="11" t="s">
        <v>368</v>
      </c>
      <c r="N66" s="11"/>
    </row>
    <row r="67" customFormat="false" ht="45.75" hidden="false" customHeight="true" outlineLevel="0" collapsed="false">
      <c r="A67" s="11" t="s">
        <v>655</v>
      </c>
      <c r="B67" s="27"/>
      <c r="C67" s="11" t="s">
        <v>494</v>
      </c>
      <c r="D67" s="11" t="s">
        <v>656</v>
      </c>
      <c r="E67" s="11" t="s">
        <v>657</v>
      </c>
      <c r="F67" s="11" t="s">
        <v>658</v>
      </c>
      <c r="G67" s="11" t="s">
        <v>659</v>
      </c>
      <c r="H67" s="11" t="s">
        <v>660</v>
      </c>
      <c r="I67" s="11" t="s">
        <v>433</v>
      </c>
      <c r="J67" s="13" t="s">
        <v>102</v>
      </c>
      <c r="K67" s="11" t="s">
        <v>661</v>
      </c>
      <c r="L67" s="11"/>
      <c r="M67" s="11" t="s">
        <v>368</v>
      </c>
      <c r="N67" s="11"/>
    </row>
    <row r="68" customFormat="false" ht="45.75" hidden="false" customHeight="true" outlineLevel="0" collapsed="false">
      <c r="A68" s="11" t="s">
        <v>662</v>
      </c>
      <c r="B68" s="27"/>
      <c r="C68" s="11" t="s">
        <v>494</v>
      </c>
      <c r="D68" s="11" t="s">
        <v>663</v>
      </c>
      <c r="E68" s="11" t="s">
        <v>664</v>
      </c>
      <c r="F68" s="11" t="s">
        <v>665</v>
      </c>
      <c r="G68" s="11" t="s">
        <v>666</v>
      </c>
      <c r="H68" s="11" t="s">
        <v>667</v>
      </c>
      <c r="I68" s="11"/>
      <c r="J68" s="13" t="s">
        <v>47</v>
      </c>
      <c r="K68" s="11" t="s">
        <v>668</v>
      </c>
      <c r="L68" s="11" t="s">
        <v>669</v>
      </c>
      <c r="M68" s="11" t="s">
        <v>368</v>
      </c>
      <c r="N68" s="11" t="s">
        <v>670</v>
      </c>
    </row>
    <row r="69" customFormat="false" ht="45.75" hidden="false" customHeight="true" outlineLevel="0" collapsed="false">
      <c r="A69" s="11" t="s">
        <v>671</v>
      </c>
      <c r="B69" s="27"/>
      <c r="C69" s="11" t="s">
        <v>672</v>
      </c>
      <c r="D69" s="11" t="s">
        <v>673</v>
      </c>
      <c r="E69" s="11" t="s">
        <v>674</v>
      </c>
      <c r="F69" s="11" t="s">
        <v>675</v>
      </c>
      <c r="G69" s="11" t="s">
        <v>676</v>
      </c>
      <c r="H69" s="11" t="s">
        <v>677</v>
      </c>
      <c r="I69" s="11"/>
      <c r="J69" s="13" t="s">
        <v>47</v>
      </c>
      <c r="K69" s="11" t="s">
        <v>678</v>
      </c>
      <c r="L69" s="11"/>
      <c r="M69" s="11" t="s">
        <v>368</v>
      </c>
      <c r="N69" s="11" t="s">
        <v>640</v>
      </c>
    </row>
    <row r="70" customFormat="false" ht="45.75" hidden="false" customHeight="true" outlineLevel="0" collapsed="false">
      <c r="A70" s="11" t="s">
        <v>679</v>
      </c>
      <c r="B70" s="27" t="s">
        <v>543</v>
      </c>
      <c r="C70" s="11" t="s">
        <v>680</v>
      </c>
      <c r="D70" s="11" t="s">
        <v>681</v>
      </c>
      <c r="E70" s="11" t="s">
        <v>682</v>
      </c>
      <c r="F70" s="11" t="s">
        <v>683</v>
      </c>
      <c r="G70" s="11" t="s">
        <v>684</v>
      </c>
      <c r="H70" s="11" t="s">
        <v>685</v>
      </c>
      <c r="I70" s="11"/>
      <c r="J70" s="13" t="s">
        <v>102</v>
      </c>
      <c r="K70" s="11" t="s">
        <v>686</v>
      </c>
      <c r="L70" s="11"/>
      <c r="M70" s="11" t="s">
        <v>543</v>
      </c>
      <c r="N70" s="11"/>
    </row>
    <row r="71" customFormat="false" ht="45.75" hidden="false" customHeight="true" outlineLevel="0" collapsed="false">
      <c r="A71" s="11" t="s">
        <v>687</v>
      </c>
      <c r="B71" s="27"/>
      <c r="C71" s="11" t="s">
        <v>680</v>
      </c>
      <c r="D71" s="11" t="s">
        <v>688</v>
      </c>
      <c r="E71" s="11" t="s">
        <v>689</v>
      </c>
      <c r="F71" s="11" t="s">
        <v>690</v>
      </c>
      <c r="G71" s="11" t="s">
        <v>691</v>
      </c>
      <c r="H71" s="11" t="s">
        <v>692</v>
      </c>
      <c r="I71" s="11"/>
      <c r="J71" s="13" t="s">
        <v>102</v>
      </c>
      <c r="K71" s="11" t="s">
        <v>693</v>
      </c>
      <c r="L71" s="11"/>
      <c r="M71" s="11" t="s">
        <v>543</v>
      </c>
      <c r="N71" s="11" t="s">
        <v>694</v>
      </c>
    </row>
    <row r="72" customFormat="false" ht="30" hidden="false" customHeight="tru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3"/>
      <c r="K72" s="11"/>
      <c r="L72" s="11"/>
      <c r="M72" s="11"/>
      <c r="N72" s="11"/>
    </row>
    <row r="73" customFormat="false" ht="30" hidden="false" customHeight="tru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3"/>
      <c r="K73" s="11"/>
      <c r="L73" s="11"/>
      <c r="M73" s="11"/>
      <c r="N73" s="11"/>
    </row>
    <row r="74" customFormat="false" ht="30" hidden="false" customHeight="tru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3"/>
      <c r="K74" s="11"/>
      <c r="L74" s="11"/>
      <c r="M74" s="11"/>
      <c r="N74" s="11"/>
    </row>
    <row r="75" customFormat="false" ht="30" hidden="false" customHeight="tru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3"/>
      <c r="K75" s="11"/>
      <c r="L75" s="11"/>
      <c r="M75" s="11"/>
      <c r="N75" s="11"/>
    </row>
    <row r="76" customFormat="false" ht="30" hidden="false" customHeight="true" outlineLevel="0" collapsed="false">
      <c r="A76" s="11"/>
      <c r="B76" s="11"/>
      <c r="C76" s="11"/>
      <c r="D76" s="11"/>
      <c r="E76" s="11"/>
      <c r="F76" s="11"/>
      <c r="G76" s="11"/>
      <c r="H76" s="11"/>
      <c r="I76" s="11"/>
      <c r="J76" s="13"/>
      <c r="K76" s="11"/>
      <c r="L76" s="11"/>
      <c r="M76" s="11"/>
      <c r="N76" s="11"/>
    </row>
    <row r="77" customFormat="false" ht="30" hidden="false" customHeight="tru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3"/>
      <c r="K77" s="11"/>
      <c r="L77" s="11"/>
      <c r="M77" s="11"/>
      <c r="N77" s="11"/>
    </row>
    <row r="78" customFormat="false" ht="30" hidden="false" customHeight="tru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3"/>
      <c r="K78" s="11"/>
      <c r="L78" s="11"/>
      <c r="M78" s="11"/>
      <c r="N78" s="11"/>
    </row>
    <row r="79" customFormat="false" ht="30" hidden="false" customHeight="tru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3"/>
      <c r="K79" s="11"/>
      <c r="L79" s="11"/>
      <c r="M79" s="11"/>
      <c r="N79" s="11"/>
    </row>
    <row r="80" customFormat="false" ht="30" hidden="false" customHeight="tru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3"/>
      <c r="K80" s="11"/>
      <c r="L80" s="11"/>
      <c r="M80" s="11"/>
      <c r="N80" s="11"/>
    </row>
    <row r="81" customFormat="false" ht="30" hidden="false" customHeight="tru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3"/>
      <c r="K81" s="11"/>
      <c r="L81" s="11"/>
      <c r="M81" s="11"/>
      <c r="N81" s="11"/>
    </row>
    <row r="82" customFormat="false" ht="30" hidden="false" customHeight="tru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3"/>
      <c r="K82" s="11"/>
      <c r="L82" s="11"/>
      <c r="M82" s="11"/>
      <c r="N82" s="11"/>
    </row>
    <row r="83" customFormat="false" ht="30" hidden="false" customHeight="tru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3"/>
      <c r="K83" s="11"/>
      <c r="L83" s="11"/>
      <c r="M83" s="11"/>
      <c r="N83" s="11"/>
    </row>
    <row r="84" customFormat="false" ht="30" hidden="false" customHeight="tru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3"/>
      <c r="K84" s="11"/>
      <c r="L84" s="11"/>
      <c r="M84" s="11"/>
      <c r="N84" s="11"/>
    </row>
    <row r="85" customFormat="false" ht="30" hidden="false" customHeight="tru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3"/>
      <c r="K85" s="11"/>
      <c r="L85" s="11"/>
      <c r="M85" s="11"/>
      <c r="N85" s="11"/>
    </row>
    <row r="86" customFormat="false" ht="30" hidden="false" customHeight="tru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3"/>
      <c r="K86" s="11"/>
      <c r="L86" s="11"/>
      <c r="M86" s="11"/>
      <c r="N86" s="11"/>
    </row>
    <row r="87" customFormat="false" ht="30" hidden="false" customHeight="tru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3"/>
      <c r="K87" s="11"/>
      <c r="L87" s="11"/>
      <c r="M87" s="11"/>
      <c r="N87" s="11"/>
    </row>
    <row r="88" customFormat="false" ht="30" hidden="false" customHeight="tru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3"/>
      <c r="K88" s="11"/>
      <c r="L88" s="11"/>
      <c r="M88" s="11"/>
      <c r="N88" s="11"/>
    </row>
    <row r="89" customFormat="false" ht="30" hidden="false" customHeight="tru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3"/>
      <c r="K89" s="11"/>
      <c r="L89" s="11"/>
      <c r="M89" s="11"/>
      <c r="N89" s="11"/>
    </row>
    <row r="90" customFormat="false" ht="30" hidden="false" customHeight="true" outlineLevel="0" collapsed="false">
      <c r="A90" s="11"/>
      <c r="B90" s="11"/>
      <c r="C90" s="11"/>
      <c r="D90" s="11"/>
      <c r="E90" s="11"/>
      <c r="F90" s="11"/>
      <c r="G90" s="11"/>
      <c r="H90" s="11"/>
      <c r="I90" s="11"/>
      <c r="J90" s="13"/>
      <c r="K90" s="11"/>
      <c r="L90" s="11"/>
      <c r="M90" s="11"/>
      <c r="N90" s="11"/>
    </row>
    <row r="91" customFormat="false" ht="30" hidden="false" customHeight="tru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3"/>
      <c r="K91" s="11"/>
      <c r="L91" s="11"/>
      <c r="M91" s="11"/>
      <c r="N91" s="11"/>
    </row>
    <row r="92" customFormat="false" ht="30" hidden="false" customHeight="tru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3"/>
      <c r="K92" s="11"/>
      <c r="L92" s="11"/>
      <c r="M92" s="11"/>
      <c r="N92" s="11"/>
    </row>
    <row r="93" customFormat="false" ht="30" hidden="false" customHeight="tru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3"/>
      <c r="K93" s="11"/>
      <c r="L93" s="11"/>
      <c r="M93" s="11"/>
      <c r="N93" s="11"/>
    </row>
    <row r="94" customFormat="false" ht="30" hidden="false" customHeight="true" outlineLevel="0" collapsed="false">
      <c r="A94" s="11"/>
      <c r="B94" s="11"/>
      <c r="C94" s="11"/>
      <c r="D94" s="11"/>
      <c r="E94" s="11"/>
      <c r="F94" s="11"/>
      <c r="G94" s="11"/>
      <c r="H94" s="11"/>
      <c r="I94" s="11"/>
      <c r="J94" s="13"/>
      <c r="K94" s="11"/>
      <c r="L94" s="11"/>
      <c r="M94" s="11"/>
      <c r="N94" s="11"/>
    </row>
    <row r="95" customFormat="false" ht="30" hidden="false" customHeight="tru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3"/>
      <c r="K95" s="11"/>
      <c r="L95" s="11"/>
      <c r="M95" s="11"/>
      <c r="N95" s="11"/>
    </row>
    <row r="96" customFormat="false" ht="30" hidden="false" customHeight="true" outlineLevel="0" collapsed="false">
      <c r="A96" s="11"/>
      <c r="B96" s="11"/>
      <c r="C96" s="11"/>
      <c r="D96" s="11"/>
      <c r="E96" s="11"/>
      <c r="F96" s="11"/>
      <c r="G96" s="11"/>
      <c r="H96" s="11"/>
      <c r="I96" s="11"/>
      <c r="J96" s="13"/>
      <c r="K96" s="11"/>
      <c r="L96" s="11"/>
      <c r="M96" s="11"/>
      <c r="N96" s="11"/>
    </row>
    <row r="97" customFormat="false" ht="30" hidden="false" customHeight="tru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3"/>
      <c r="K97" s="11"/>
      <c r="L97" s="11"/>
      <c r="M97" s="11"/>
      <c r="N97" s="11"/>
    </row>
    <row r="98" customFormat="false" ht="30" hidden="false" customHeight="true" outlineLevel="0" collapsed="false">
      <c r="A98" s="11"/>
      <c r="B98" s="11"/>
      <c r="C98" s="11"/>
      <c r="D98" s="11"/>
      <c r="E98" s="11"/>
      <c r="F98" s="11"/>
      <c r="G98" s="11"/>
      <c r="H98" s="11"/>
      <c r="I98" s="11"/>
      <c r="J98" s="13"/>
      <c r="K98" s="11"/>
      <c r="L98" s="11"/>
      <c r="M98" s="11"/>
      <c r="N98" s="11"/>
    </row>
    <row r="99" customFormat="false" ht="30" hidden="false" customHeight="tru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3"/>
      <c r="K99" s="11"/>
      <c r="L99" s="11"/>
      <c r="M99" s="11"/>
      <c r="N99" s="11"/>
    </row>
    <row r="100" customFormat="false" ht="30" hidden="false" customHeight="true" outlineLevel="0" collapsed="false">
      <c r="A100" s="11"/>
      <c r="B100" s="11"/>
      <c r="C100" s="11"/>
      <c r="D100" s="11"/>
      <c r="E100" s="11"/>
      <c r="F100" s="11"/>
      <c r="G100" s="11"/>
      <c r="H100" s="11"/>
      <c r="I100" s="11"/>
      <c r="J100" s="13"/>
      <c r="K100" s="11"/>
      <c r="L100" s="11"/>
      <c r="M100" s="11"/>
      <c r="N100" s="11"/>
    </row>
    <row r="101" customFormat="false" ht="30" hidden="false" customHeight="tru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3"/>
      <c r="K101" s="11"/>
      <c r="L101" s="11"/>
      <c r="M101" s="11"/>
      <c r="N101" s="11"/>
    </row>
    <row r="102" customFormat="false" ht="30" hidden="false" customHeight="tru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3"/>
      <c r="K102" s="11"/>
      <c r="L102" s="11"/>
      <c r="M102" s="11"/>
      <c r="N102" s="11"/>
    </row>
    <row r="103" customFormat="false" ht="30" hidden="false" customHeight="tru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3"/>
      <c r="K103" s="11"/>
      <c r="L103" s="11"/>
      <c r="M103" s="11"/>
      <c r="N103" s="11"/>
    </row>
    <row r="104" customFormat="false" ht="30" hidden="false" customHeight="true" outlineLevel="0" collapsed="false">
      <c r="A104" s="11"/>
      <c r="B104" s="11"/>
      <c r="C104" s="11"/>
      <c r="D104" s="11"/>
      <c r="E104" s="11"/>
      <c r="F104" s="11"/>
      <c r="G104" s="11"/>
      <c r="H104" s="11"/>
      <c r="I104" s="11"/>
      <c r="J104" s="13"/>
      <c r="K104" s="11"/>
      <c r="L104" s="11"/>
      <c r="M104" s="11"/>
      <c r="N104" s="11"/>
    </row>
    <row r="105" customFormat="false" ht="30" hidden="false" customHeight="tru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3"/>
      <c r="K105" s="11"/>
      <c r="L105" s="11"/>
      <c r="M105" s="11"/>
      <c r="N105" s="11"/>
    </row>
    <row r="106" customFormat="false" ht="30" hidden="false" customHeight="true" outlineLevel="0" collapsed="false">
      <c r="A106" s="11"/>
      <c r="B106" s="11"/>
      <c r="C106" s="11"/>
      <c r="D106" s="11"/>
      <c r="E106" s="11"/>
      <c r="F106" s="11"/>
      <c r="G106" s="11"/>
      <c r="H106" s="11"/>
      <c r="I106" s="11"/>
      <c r="J106" s="13"/>
      <c r="K106" s="11"/>
      <c r="L106" s="11"/>
      <c r="M106" s="11"/>
      <c r="N106" s="11"/>
    </row>
    <row r="107" customFormat="false" ht="30" hidden="false" customHeight="true" outlineLevel="0" collapsed="false">
      <c r="A107" s="11"/>
      <c r="B107" s="11"/>
      <c r="C107" s="11"/>
      <c r="D107" s="11"/>
      <c r="E107" s="11"/>
      <c r="F107" s="11"/>
      <c r="G107" s="11"/>
      <c r="H107" s="11"/>
      <c r="I107" s="11"/>
      <c r="J107" s="13"/>
      <c r="K107" s="11"/>
      <c r="L107" s="11"/>
      <c r="M107" s="11"/>
      <c r="N107" s="11"/>
    </row>
    <row r="108" customFormat="false" ht="30" hidden="false" customHeight="true" outlineLevel="0" collapsed="false">
      <c r="A108" s="11"/>
      <c r="B108" s="11"/>
      <c r="C108" s="11"/>
      <c r="D108" s="11"/>
      <c r="E108" s="11"/>
      <c r="F108" s="11"/>
      <c r="G108" s="11"/>
      <c r="H108" s="11"/>
      <c r="I108" s="11"/>
      <c r="J108" s="13"/>
      <c r="K108" s="11"/>
      <c r="L108" s="11"/>
      <c r="M108" s="11"/>
      <c r="N108" s="11"/>
    </row>
    <row r="109" customFormat="false" ht="30" hidden="false" customHeight="true" outlineLevel="0" collapsed="false">
      <c r="A109" s="11"/>
      <c r="B109" s="11"/>
      <c r="C109" s="11"/>
      <c r="D109" s="11"/>
      <c r="E109" s="11"/>
      <c r="F109" s="11"/>
      <c r="G109" s="11"/>
      <c r="H109" s="11"/>
      <c r="I109" s="11"/>
      <c r="J109" s="13"/>
      <c r="K109" s="11"/>
      <c r="L109" s="11"/>
      <c r="M109" s="11"/>
      <c r="N109" s="11"/>
    </row>
    <row r="110" customFormat="false" ht="30" hidden="false" customHeight="true" outlineLevel="0" collapsed="false">
      <c r="A110" s="11"/>
      <c r="B110" s="11"/>
      <c r="C110" s="11"/>
      <c r="D110" s="11"/>
      <c r="E110" s="11"/>
      <c r="F110" s="11"/>
      <c r="G110" s="11"/>
      <c r="H110" s="11"/>
      <c r="I110" s="11"/>
      <c r="J110" s="13"/>
      <c r="K110" s="11"/>
      <c r="L110" s="11"/>
      <c r="M110" s="11"/>
      <c r="N110" s="11"/>
    </row>
    <row r="111" customFormat="false" ht="30" hidden="false" customHeight="true" outlineLevel="0" collapsed="false">
      <c r="A111" s="11"/>
      <c r="B111" s="11"/>
      <c r="C111" s="11"/>
      <c r="D111" s="11"/>
      <c r="E111" s="11"/>
      <c r="F111" s="11"/>
      <c r="G111" s="11"/>
      <c r="H111" s="11"/>
      <c r="I111" s="11"/>
      <c r="J111" s="13"/>
      <c r="K111" s="11"/>
      <c r="L111" s="11"/>
      <c r="M111" s="11"/>
      <c r="N111" s="11"/>
    </row>
    <row r="112" customFormat="false" ht="30" hidden="false" customHeight="true" outlineLevel="0" collapsed="false">
      <c r="A112" s="11"/>
      <c r="B112" s="11"/>
      <c r="C112" s="11"/>
      <c r="D112" s="11"/>
      <c r="E112" s="11"/>
      <c r="F112" s="11"/>
      <c r="G112" s="11"/>
      <c r="H112" s="11"/>
      <c r="I112" s="11"/>
      <c r="J112" s="13"/>
      <c r="K112" s="11"/>
      <c r="L112" s="11"/>
      <c r="M112" s="11"/>
      <c r="N112" s="11"/>
    </row>
    <row r="113" customFormat="false" ht="30" hidden="false" customHeight="true" outlineLevel="0" collapsed="false">
      <c r="A113" s="11"/>
      <c r="B113" s="11"/>
      <c r="C113" s="11"/>
      <c r="D113" s="11"/>
      <c r="E113" s="11"/>
      <c r="F113" s="11"/>
      <c r="G113" s="11"/>
      <c r="H113" s="11"/>
      <c r="I113" s="11"/>
      <c r="J113" s="13"/>
      <c r="K113" s="11"/>
      <c r="L113" s="11"/>
      <c r="M113" s="11"/>
      <c r="N113" s="11"/>
    </row>
    <row r="114" customFormat="false" ht="30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3"/>
      <c r="K114" s="11"/>
      <c r="L114" s="11"/>
      <c r="M114" s="11"/>
      <c r="N114" s="11"/>
    </row>
    <row r="115" customFormat="false" ht="30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3"/>
      <c r="K115" s="11"/>
      <c r="L115" s="11"/>
      <c r="M115" s="11"/>
      <c r="N115" s="11"/>
    </row>
    <row r="116" customFormat="false" ht="30" hidden="false" customHeight="true" outlineLevel="0" collapsed="false">
      <c r="A116" s="11"/>
      <c r="B116" s="11"/>
      <c r="C116" s="11"/>
      <c r="D116" s="11"/>
      <c r="E116" s="11"/>
      <c r="F116" s="11"/>
      <c r="G116" s="11"/>
      <c r="H116" s="11"/>
      <c r="I116" s="11"/>
      <c r="J116" s="13"/>
      <c r="K116" s="11"/>
      <c r="L116" s="11"/>
      <c r="M116" s="11"/>
      <c r="N116" s="11"/>
    </row>
    <row r="117" customFormat="false" ht="30" hidden="false" customHeight="true" outlineLevel="0" collapsed="false">
      <c r="A117" s="11"/>
      <c r="B117" s="11"/>
      <c r="C117" s="11"/>
      <c r="D117" s="11"/>
      <c r="E117" s="11"/>
      <c r="F117" s="11"/>
      <c r="G117" s="11"/>
      <c r="H117" s="11"/>
      <c r="I117" s="11"/>
      <c r="J117" s="13"/>
      <c r="K117" s="11"/>
      <c r="L117" s="11"/>
      <c r="M117" s="11"/>
      <c r="N117" s="11"/>
    </row>
    <row r="118" customFormat="false" ht="30" hidden="false" customHeight="true" outlineLevel="0" collapsed="false">
      <c r="A118" s="11"/>
      <c r="B118" s="11"/>
      <c r="C118" s="11"/>
      <c r="D118" s="11"/>
      <c r="E118" s="11"/>
      <c r="F118" s="11"/>
      <c r="G118" s="11"/>
      <c r="H118" s="11"/>
      <c r="I118" s="11"/>
      <c r="J118" s="13"/>
      <c r="K118" s="11"/>
      <c r="L118" s="11"/>
      <c r="M118" s="11"/>
      <c r="N118" s="11"/>
    </row>
    <row r="119" customFormat="false" ht="30" hidden="false" customHeight="true" outlineLevel="0" collapsed="false">
      <c r="A119" s="11"/>
      <c r="B119" s="11"/>
      <c r="C119" s="11"/>
      <c r="D119" s="11"/>
      <c r="E119" s="11"/>
      <c r="F119" s="11"/>
      <c r="G119" s="11"/>
      <c r="H119" s="11"/>
      <c r="I119" s="11"/>
      <c r="J119" s="13"/>
      <c r="K119" s="11"/>
      <c r="L119" s="11"/>
      <c r="M119" s="11"/>
      <c r="N119" s="11"/>
    </row>
    <row r="120" customFormat="false" ht="30" hidden="false" customHeight="true" outlineLevel="0" collapsed="false">
      <c r="A120" s="11"/>
      <c r="B120" s="11"/>
      <c r="C120" s="11"/>
      <c r="D120" s="11"/>
      <c r="E120" s="11"/>
      <c r="F120" s="11"/>
      <c r="G120" s="11"/>
      <c r="H120" s="11"/>
      <c r="I120" s="11"/>
      <c r="J120" s="13"/>
      <c r="K120" s="11"/>
      <c r="L120" s="11"/>
      <c r="M120" s="11"/>
      <c r="N120" s="11"/>
    </row>
    <row r="121" customFormat="false" ht="30" hidden="false" customHeight="true" outlineLevel="0" collapsed="false">
      <c r="A121" s="11"/>
      <c r="B121" s="11"/>
      <c r="C121" s="11"/>
      <c r="D121" s="11"/>
      <c r="E121" s="11"/>
      <c r="F121" s="11"/>
      <c r="G121" s="11"/>
      <c r="H121" s="11"/>
      <c r="I121" s="11"/>
      <c r="J121" s="13"/>
      <c r="K121" s="11"/>
      <c r="L121" s="11"/>
      <c r="M121" s="11"/>
      <c r="N121" s="11"/>
    </row>
    <row r="122" customFormat="false" ht="30" hidden="false" customHeight="true" outlineLevel="0" collapsed="false">
      <c r="A122" s="11"/>
      <c r="B122" s="11"/>
      <c r="C122" s="11"/>
      <c r="D122" s="11"/>
      <c r="E122" s="11"/>
      <c r="F122" s="11"/>
      <c r="G122" s="11"/>
      <c r="H122" s="11"/>
      <c r="I122" s="11"/>
      <c r="J122" s="13"/>
      <c r="K122" s="11"/>
      <c r="L122" s="11"/>
      <c r="M122" s="11"/>
      <c r="N122" s="11"/>
    </row>
    <row r="123" customFormat="false" ht="30" hidden="false" customHeight="true" outlineLevel="0" collapsed="false">
      <c r="A123" s="11"/>
      <c r="B123" s="11"/>
      <c r="C123" s="11"/>
      <c r="D123" s="11"/>
      <c r="E123" s="11"/>
      <c r="F123" s="11"/>
      <c r="G123" s="11"/>
      <c r="H123" s="11"/>
      <c r="I123" s="11"/>
      <c r="J123" s="13"/>
      <c r="K123" s="11"/>
      <c r="L123" s="11"/>
      <c r="M123" s="11"/>
      <c r="N123" s="11"/>
    </row>
    <row r="124" customFormat="false" ht="30" hidden="false" customHeight="true" outlineLevel="0" collapsed="false">
      <c r="A124" s="11"/>
      <c r="B124" s="11"/>
      <c r="C124" s="11"/>
      <c r="D124" s="11"/>
      <c r="E124" s="11"/>
      <c r="F124" s="11"/>
      <c r="G124" s="11"/>
      <c r="H124" s="11"/>
      <c r="I124" s="11"/>
      <c r="J124" s="13"/>
      <c r="K124" s="11"/>
      <c r="L124" s="11"/>
      <c r="M124" s="11"/>
      <c r="N124" s="11"/>
    </row>
    <row r="125" customFormat="false" ht="30" hidden="false" customHeight="true" outlineLevel="0" collapsed="false">
      <c r="A125" s="11"/>
      <c r="B125" s="11"/>
      <c r="C125" s="11"/>
      <c r="D125" s="11"/>
      <c r="E125" s="11"/>
      <c r="F125" s="11"/>
      <c r="G125" s="11"/>
      <c r="H125" s="11"/>
      <c r="I125" s="11"/>
      <c r="J125" s="13"/>
      <c r="K125" s="11"/>
      <c r="L125" s="11"/>
      <c r="M125" s="11"/>
      <c r="N125" s="11"/>
    </row>
    <row r="126" customFormat="false" ht="30" hidden="false" customHeight="true" outlineLevel="0" collapsed="false">
      <c r="A126" s="11"/>
      <c r="B126" s="11"/>
      <c r="C126" s="11"/>
      <c r="D126" s="11"/>
      <c r="E126" s="11"/>
      <c r="F126" s="11"/>
      <c r="G126" s="11"/>
      <c r="H126" s="11"/>
      <c r="I126" s="11"/>
      <c r="J126" s="13"/>
      <c r="K126" s="11"/>
      <c r="L126" s="11"/>
      <c r="M126" s="11"/>
      <c r="N126" s="11"/>
    </row>
    <row r="127" customFormat="false" ht="30" hidden="false" customHeight="tru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3"/>
      <c r="K127" s="11"/>
      <c r="L127" s="11"/>
      <c r="M127" s="11"/>
      <c r="N127" s="11"/>
    </row>
    <row r="128" customFormat="false" ht="30" hidden="false" customHeight="true" outlineLevel="0" collapsed="false">
      <c r="A128" s="11"/>
      <c r="B128" s="11"/>
      <c r="C128" s="11"/>
      <c r="D128" s="11"/>
      <c r="E128" s="11"/>
      <c r="F128" s="11"/>
      <c r="G128" s="11"/>
      <c r="H128" s="11"/>
      <c r="I128" s="11"/>
      <c r="J128" s="13"/>
      <c r="K128" s="11"/>
      <c r="L128" s="11"/>
      <c r="M128" s="11"/>
      <c r="N128" s="11"/>
    </row>
    <row r="129" customFormat="false" ht="30" hidden="false" customHeight="true" outlineLevel="0" collapsed="false">
      <c r="A129" s="11"/>
      <c r="B129" s="11"/>
      <c r="C129" s="11"/>
      <c r="D129" s="11"/>
      <c r="E129" s="11"/>
      <c r="F129" s="11"/>
      <c r="G129" s="11"/>
      <c r="H129" s="11"/>
      <c r="I129" s="11"/>
      <c r="J129" s="13"/>
      <c r="K129" s="11"/>
      <c r="L129" s="11"/>
      <c r="M129" s="11"/>
      <c r="N129" s="11"/>
    </row>
    <row r="130" customFormat="false" ht="30" hidden="false" customHeight="true" outlineLevel="0" collapsed="false">
      <c r="A130" s="11"/>
      <c r="B130" s="11"/>
      <c r="C130" s="11"/>
      <c r="D130" s="11"/>
      <c r="E130" s="11"/>
      <c r="F130" s="11"/>
      <c r="G130" s="11"/>
      <c r="H130" s="11"/>
      <c r="I130" s="11"/>
      <c r="J130" s="13"/>
      <c r="K130" s="11"/>
      <c r="L130" s="11"/>
      <c r="M130" s="11"/>
      <c r="N130" s="11"/>
    </row>
    <row r="131" customFormat="false" ht="30" hidden="false" customHeight="true" outlineLevel="0" collapsed="false">
      <c r="A131" s="11"/>
      <c r="B131" s="11"/>
      <c r="C131" s="11"/>
      <c r="D131" s="11"/>
      <c r="E131" s="11"/>
      <c r="F131" s="11"/>
      <c r="G131" s="11"/>
      <c r="H131" s="11"/>
      <c r="I131" s="11"/>
      <c r="J131" s="13"/>
      <c r="K131" s="11"/>
      <c r="L131" s="11"/>
      <c r="M131" s="11"/>
      <c r="N131" s="11"/>
    </row>
    <row r="132" customFormat="false" ht="30" hidden="false" customHeight="true" outlineLevel="0" collapsed="false">
      <c r="A132" s="11"/>
      <c r="B132" s="11"/>
      <c r="C132" s="11"/>
      <c r="D132" s="11"/>
      <c r="E132" s="11"/>
      <c r="F132" s="11"/>
      <c r="G132" s="11"/>
      <c r="H132" s="11"/>
      <c r="I132" s="11"/>
      <c r="J132" s="13"/>
      <c r="K132" s="11"/>
      <c r="L132" s="11"/>
      <c r="M132" s="11"/>
      <c r="N132" s="11"/>
    </row>
    <row r="133" customFormat="false" ht="30" hidden="false" customHeight="true" outlineLevel="0" collapsed="false">
      <c r="A133" s="11"/>
      <c r="B133" s="11"/>
      <c r="C133" s="11"/>
      <c r="D133" s="11"/>
      <c r="E133" s="11"/>
      <c r="F133" s="11"/>
      <c r="G133" s="11"/>
      <c r="H133" s="11"/>
      <c r="I133" s="11"/>
      <c r="J133" s="13"/>
      <c r="K133" s="11"/>
      <c r="L133" s="11"/>
      <c r="M133" s="11"/>
      <c r="N133" s="11"/>
    </row>
    <row r="134" customFormat="false" ht="30" hidden="false" customHeight="true" outlineLevel="0" collapsed="false">
      <c r="A134" s="11"/>
      <c r="B134" s="11"/>
      <c r="C134" s="11"/>
      <c r="D134" s="11"/>
      <c r="E134" s="11"/>
      <c r="F134" s="11"/>
      <c r="G134" s="11"/>
      <c r="H134" s="11"/>
      <c r="I134" s="11"/>
      <c r="J134" s="13"/>
      <c r="K134" s="11"/>
      <c r="L134" s="11"/>
      <c r="M134" s="11"/>
      <c r="N134" s="11"/>
    </row>
    <row r="135" customFormat="false" ht="30" hidden="false" customHeight="true" outlineLevel="0" collapsed="false">
      <c r="A135" s="11"/>
      <c r="B135" s="11"/>
      <c r="C135" s="11"/>
      <c r="D135" s="11"/>
      <c r="E135" s="11"/>
      <c r="F135" s="11"/>
      <c r="G135" s="11"/>
      <c r="H135" s="11"/>
      <c r="I135" s="11"/>
      <c r="J135" s="13"/>
      <c r="K135" s="11"/>
      <c r="L135" s="11"/>
      <c r="M135" s="11"/>
      <c r="N135" s="11"/>
    </row>
    <row r="136" customFormat="false" ht="30" hidden="false" customHeight="true" outlineLevel="0" collapsed="false">
      <c r="A136" s="11"/>
      <c r="B136" s="11"/>
      <c r="C136" s="11"/>
      <c r="D136" s="11"/>
      <c r="E136" s="11"/>
      <c r="F136" s="11"/>
      <c r="G136" s="11"/>
      <c r="H136" s="11"/>
      <c r="I136" s="11"/>
      <c r="J136" s="13"/>
      <c r="K136" s="11"/>
      <c r="L136" s="11"/>
      <c r="M136" s="11"/>
      <c r="N136" s="11"/>
    </row>
    <row r="137" customFormat="false" ht="30" hidden="false" customHeight="true" outlineLevel="0" collapsed="false">
      <c r="A137" s="11"/>
      <c r="B137" s="11"/>
      <c r="C137" s="11"/>
      <c r="D137" s="11"/>
      <c r="E137" s="11"/>
      <c r="F137" s="11"/>
      <c r="G137" s="11"/>
      <c r="H137" s="11"/>
      <c r="I137" s="11"/>
      <c r="J137" s="13"/>
      <c r="K137" s="11"/>
      <c r="L137" s="11"/>
      <c r="M137" s="11"/>
      <c r="N137" s="11"/>
    </row>
    <row r="138" customFormat="false" ht="30" hidden="false" customHeight="true" outlineLevel="0" collapsed="false">
      <c r="A138" s="11"/>
      <c r="B138" s="11"/>
      <c r="C138" s="11"/>
      <c r="D138" s="11"/>
      <c r="E138" s="11"/>
      <c r="F138" s="11"/>
      <c r="G138" s="11"/>
      <c r="H138" s="11"/>
      <c r="I138" s="11"/>
      <c r="J138" s="13"/>
      <c r="K138" s="11"/>
      <c r="L138" s="11"/>
      <c r="M138" s="11"/>
      <c r="N138" s="11"/>
    </row>
    <row r="139" customFormat="false" ht="30" hidden="false" customHeight="true" outlineLevel="0" collapsed="false">
      <c r="A139" s="11"/>
      <c r="B139" s="11"/>
      <c r="C139" s="11"/>
      <c r="D139" s="11"/>
      <c r="E139" s="11"/>
      <c r="F139" s="11"/>
      <c r="G139" s="11"/>
      <c r="H139" s="11"/>
      <c r="I139" s="11"/>
      <c r="J139" s="13"/>
      <c r="K139" s="11"/>
      <c r="L139" s="11"/>
      <c r="M139" s="11"/>
      <c r="N139" s="11"/>
    </row>
    <row r="140" customFormat="false" ht="30" hidden="false" customHeight="true" outlineLevel="0" collapsed="false">
      <c r="A140" s="11"/>
      <c r="B140" s="11"/>
      <c r="C140" s="11"/>
      <c r="D140" s="11"/>
      <c r="E140" s="11"/>
      <c r="F140" s="11"/>
      <c r="G140" s="11"/>
      <c r="H140" s="11"/>
      <c r="I140" s="11"/>
      <c r="J140" s="13"/>
      <c r="K140" s="11"/>
      <c r="L140" s="11"/>
      <c r="M140" s="11"/>
      <c r="N140" s="11"/>
    </row>
    <row r="141" customFormat="false" ht="30" hidden="false" customHeight="true" outlineLevel="0" collapsed="false">
      <c r="A141" s="11"/>
      <c r="B141" s="11"/>
      <c r="C141" s="11"/>
      <c r="D141" s="11"/>
      <c r="E141" s="11"/>
      <c r="F141" s="11"/>
      <c r="G141" s="11"/>
      <c r="H141" s="11"/>
      <c r="I141" s="11"/>
      <c r="J141" s="13"/>
      <c r="K141" s="11"/>
      <c r="L141" s="11"/>
      <c r="M141" s="11"/>
      <c r="N141" s="11"/>
    </row>
    <row r="142" customFormat="false" ht="30" hidden="false" customHeight="true" outlineLevel="0" collapsed="false">
      <c r="A142" s="11"/>
      <c r="B142" s="11"/>
      <c r="C142" s="11"/>
      <c r="D142" s="11"/>
      <c r="E142" s="11"/>
      <c r="F142" s="11"/>
      <c r="G142" s="11"/>
      <c r="H142" s="11"/>
      <c r="I142" s="11"/>
      <c r="J142" s="13"/>
      <c r="K142" s="11"/>
      <c r="L142" s="11"/>
      <c r="M142" s="11"/>
      <c r="N142" s="11"/>
    </row>
    <row r="143" customFormat="false" ht="30" hidden="false" customHeight="true" outlineLevel="0" collapsed="false">
      <c r="A143" s="11"/>
      <c r="B143" s="11"/>
      <c r="C143" s="11"/>
      <c r="D143" s="11"/>
      <c r="E143" s="11"/>
      <c r="F143" s="11"/>
      <c r="G143" s="11"/>
      <c r="H143" s="11"/>
      <c r="I143" s="11"/>
      <c r="J143" s="13"/>
      <c r="K143" s="11"/>
      <c r="L143" s="11"/>
      <c r="M143" s="11"/>
      <c r="N143" s="11"/>
    </row>
    <row r="144" customFormat="false" ht="30" hidden="false" customHeight="true" outlineLevel="0" collapsed="false">
      <c r="A144" s="11"/>
      <c r="B144" s="11"/>
      <c r="C144" s="11"/>
      <c r="D144" s="11"/>
      <c r="E144" s="11"/>
      <c r="F144" s="11"/>
      <c r="G144" s="11"/>
      <c r="H144" s="11"/>
      <c r="I144" s="11"/>
      <c r="J144" s="13"/>
      <c r="K144" s="11"/>
      <c r="L144" s="11"/>
      <c r="M144" s="11"/>
      <c r="N144" s="11"/>
    </row>
    <row r="145" customFormat="false" ht="30" hidden="false" customHeight="true" outlineLevel="0" collapsed="false">
      <c r="A145" s="11"/>
      <c r="B145" s="11"/>
      <c r="C145" s="11"/>
      <c r="D145" s="11"/>
      <c r="E145" s="11"/>
      <c r="F145" s="11"/>
      <c r="G145" s="11"/>
      <c r="H145" s="11"/>
      <c r="I145" s="11"/>
      <c r="J145" s="13"/>
      <c r="K145" s="11"/>
      <c r="L145" s="11"/>
      <c r="M145" s="11"/>
      <c r="N145" s="11"/>
    </row>
    <row r="146" customFormat="false" ht="30" hidden="false" customHeight="true" outlineLevel="0" collapsed="false">
      <c r="A146" s="11"/>
      <c r="B146" s="11"/>
      <c r="C146" s="11"/>
      <c r="D146" s="11"/>
      <c r="E146" s="11"/>
      <c r="F146" s="11"/>
      <c r="G146" s="11"/>
      <c r="H146" s="11"/>
      <c r="I146" s="11"/>
      <c r="J146" s="13"/>
      <c r="K146" s="11"/>
      <c r="L146" s="11"/>
      <c r="M146" s="11"/>
      <c r="N146" s="11"/>
    </row>
    <row r="147" customFormat="false" ht="30" hidden="false" customHeight="true" outlineLevel="0" collapsed="false">
      <c r="A147" s="11"/>
      <c r="B147" s="11"/>
      <c r="C147" s="11"/>
      <c r="D147" s="11"/>
      <c r="E147" s="11"/>
      <c r="F147" s="11"/>
      <c r="G147" s="11"/>
      <c r="H147" s="11"/>
      <c r="I147" s="11"/>
      <c r="J147" s="13"/>
      <c r="K147" s="11"/>
      <c r="L147" s="11"/>
      <c r="M147" s="11"/>
      <c r="N147" s="11"/>
    </row>
    <row r="148" customFormat="false" ht="30" hidden="false" customHeight="true" outlineLevel="0" collapsed="false">
      <c r="A148" s="11"/>
      <c r="B148" s="11"/>
      <c r="C148" s="11"/>
      <c r="D148" s="11"/>
      <c r="E148" s="11"/>
      <c r="F148" s="11"/>
      <c r="G148" s="11"/>
      <c r="H148" s="11"/>
      <c r="I148" s="11"/>
      <c r="J148" s="13"/>
      <c r="K148" s="11"/>
      <c r="L148" s="11"/>
      <c r="M148" s="11"/>
      <c r="N148" s="11"/>
    </row>
    <row r="149" customFormat="false" ht="30" hidden="false" customHeight="true" outlineLevel="0" collapsed="false">
      <c r="A149" s="11"/>
      <c r="B149" s="11"/>
      <c r="C149" s="11"/>
      <c r="D149" s="11"/>
      <c r="E149" s="11"/>
      <c r="F149" s="11"/>
      <c r="G149" s="11"/>
      <c r="H149" s="11"/>
      <c r="I149" s="11"/>
      <c r="J149" s="13"/>
      <c r="K149" s="11"/>
      <c r="L149" s="11"/>
      <c r="M149" s="11"/>
      <c r="N149" s="11"/>
    </row>
    <row r="150" customFormat="false" ht="30" hidden="false" customHeight="true" outlineLevel="0" collapsed="false">
      <c r="A150" s="11"/>
      <c r="B150" s="11"/>
      <c r="C150" s="11"/>
      <c r="D150" s="11"/>
      <c r="E150" s="11"/>
      <c r="F150" s="11"/>
      <c r="G150" s="11"/>
      <c r="H150" s="11"/>
      <c r="I150" s="11"/>
      <c r="J150" s="13"/>
      <c r="K150" s="11"/>
      <c r="L150" s="11"/>
      <c r="M150" s="11"/>
      <c r="N150" s="11"/>
    </row>
    <row r="151" customFormat="false" ht="30" hidden="false" customHeight="true" outlineLevel="0" collapsed="false">
      <c r="A151" s="11"/>
      <c r="B151" s="11"/>
      <c r="C151" s="11"/>
      <c r="D151" s="11"/>
      <c r="E151" s="11"/>
      <c r="F151" s="11"/>
      <c r="G151" s="11"/>
      <c r="H151" s="11"/>
      <c r="I151" s="11"/>
      <c r="J151" s="13"/>
      <c r="K151" s="11"/>
      <c r="L151" s="11"/>
      <c r="M151" s="11"/>
      <c r="N151" s="11"/>
    </row>
    <row r="152" customFormat="false" ht="30" hidden="false" customHeight="true" outlineLevel="0" collapsed="false">
      <c r="A152" s="11"/>
      <c r="B152" s="11"/>
      <c r="C152" s="11"/>
      <c r="D152" s="11"/>
      <c r="E152" s="11"/>
      <c r="F152" s="11"/>
      <c r="G152" s="11"/>
      <c r="H152" s="11"/>
      <c r="I152" s="11"/>
      <c r="J152" s="13"/>
      <c r="K152" s="11"/>
      <c r="L152" s="11"/>
      <c r="M152" s="11"/>
      <c r="N152" s="11"/>
    </row>
    <row r="153" customFormat="false" ht="30" hidden="false" customHeight="true" outlineLevel="0" collapsed="false">
      <c r="A153" s="11"/>
      <c r="B153" s="11"/>
      <c r="C153" s="11"/>
      <c r="D153" s="11"/>
      <c r="E153" s="11"/>
      <c r="F153" s="11"/>
      <c r="G153" s="11"/>
      <c r="H153" s="11"/>
      <c r="I153" s="11"/>
      <c r="J153" s="13"/>
      <c r="K153" s="11"/>
      <c r="L153" s="11"/>
      <c r="M153" s="11"/>
      <c r="N153" s="11"/>
    </row>
    <row r="154" customFormat="false" ht="30" hidden="false" customHeight="true" outlineLevel="0" collapsed="false">
      <c r="A154" s="11"/>
      <c r="B154" s="11"/>
      <c r="C154" s="11"/>
      <c r="D154" s="11"/>
      <c r="E154" s="11"/>
      <c r="F154" s="11"/>
      <c r="G154" s="11"/>
      <c r="H154" s="11"/>
      <c r="I154" s="11"/>
      <c r="J154" s="13"/>
      <c r="K154" s="11"/>
      <c r="L154" s="11"/>
      <c r="M154" s="11"/>
      <c r="N154" s="11"/>
    </row>
    <row r="155" customFormat="false" ht="30" hidden="false" customHeight="true" outlineLevel="0" collapsed="false">
      <c r="A155" s="11"/>
      <c r="B155" s="11"/>
      <c r="C155" s="11"/>
      <c r="D155" s="11"/>
      <c r="E155" s="11"/>
      <c r="F155" s="11"/>
      <c r="G155" s="11"/>
      <c r="H155" s="11"/>
      <c r="I155" s="11"/>
      <c r="J155" s="13"/>
      <c r="K155" s="11"/>
      <c r="L155" s="11"/>
      <c r="M155" s="11"/>
      <c r="N155" s="11"/>
    </row>
    <row r="156" customFormat="false" ht="30" hidden="false" customHeight="true" outlineLevel="0" collapsed="false">
      <c r="A156" s="11"/>
      <c r="B156" s="11"/>
      <c r="C156" s="11"/>
      <c r="D156" s="11"/>
      <c r="E156" s="11"/>
      <c r="F156" s="11"/>
      <c r="G156" s="11"/>
      <c r="H156" s="11"/>
      <c r="I156" s="11"/>
      <c r="J156" s="13"/>
      <c r="K156" s="11"/>
      <c r="L156" s="11"/>
      <c r="M156" s="11"/>
      <c r="N156" s="11"/>
    </row>
    <row r="157" customFormat="false" ht="30" hidden="false" customHeight="true" outlineLevel="0" collapsed="false">
      <c r="A157" s="11"/>
      <c r="B157" s="11"/>
      <c r="C157" s="11"/>
      <c r="D157" s="11"/>
      <c r="E157" s="11"/>
      <c r="F157" s="11"/>
      <c r="G157" s="11"/>
      <c r="H157" s="11"/>
      <c r="I157" s="11"/>
      <c r="J157" s="13"/>
      <c r="K157" s="11"/>
      <c r="L157" s="11"/>
      <c r="M157" s="11"/>
      <c r="N157" s="11"/>
    </row>
    <row r="158" customFormat="false" ht="30" hidden="false" customHeight="true" outlineLevel="0" collapsed="false">
      <c r="A158" s="11"/>
      <c r="B158" s="11"/>
      <c r="C158" s="11"/>
      <c r="D158" s="11"/>
      <c r="E158" s="11"/>
      <c r="F158" s="11"/>
      <c r="G158" s="11"/>
      <c r="H158" s="11"/>
      <c r="I158" s="11"/>
      <c r="J158" s="13"/>
      <c r="K158" s="11"/>
      <c r="L158" s="11"/>
      <c r="M158" s="11"/>
      <c r="N158" s="11"/>
    </row>
    <row r="159" customFormat="false" ht="30" hidden="false" customHeight="true" outlineLevel="0" collapsed="false">
      <c r="A159" s="11"/>
      <c r="B159" s="11"/>
      <c r="C159" s="11"/>
      <c r="D159" s="11"/>
      <c r="E159" s="11"/>
      <c r="F159" s="11"/>
      <c r="G159" s="11"/>
      <c r="H159" s="11"/>
      <c r="I159" s="11"/>
      <c r="J159" s="13"/>
      <c r="K159" s="11"/>
      <c r="L159" s="11"/>
      <c r="M159" s="11"/>
      <c r="N159" s="11"/>
    </row>
    <row r="160" customFormat="false" ht="30" hidden="false" customHeight="true" outlineLevel="0" collapsed="false">
      <c r="A160" s="11"/>
      <c r="B160" s="11"/>
      <c r="C160" s="11"/>
      <c r="D160" s="11"/>
      <c r="E160" s="11"/>
      <c r="F160" s="11"/>
      <c r="G160" s="11"/>
      <c r="H160" s="11"/>
      <c r="I160" s="11"/>
      <c r="J160" s="13"/>
      <c r="K160" s="11"/>
      <c r="L160" s="11"/>
      <c r="M160" s="11"/>
      <c r="N160" s="11"/>
    </row>
    <row r="161" customFormat="false" ht="30" hidden="false" customHeight="true" outlineLevel="0" collapsed="false">
      <c r="A161" s="11"/>
      <c r="B161" s="11"/>
      <c r="C161" s="11"/>
      <c r="D161" s="11"/>
      <c r="E161" s="11"/>
      <c r="F161" s="11"/>
      <c r="G161" s="11"/>
      <c r="H161" s="11"/>
      <c r="I161" s="11"/>
      <c r="J161" s="13"/>
      <c r="K161" s="11"/>
      <c r="L161" s="11"/>
      <c r="M161" s="11"/>
      <c r="N161" s="11"/>
    </row>
    <row r="162" customFormat="false" ht="30" hidden="false" customHeight="true" outlineLevel="0" collapsed="false">
      <c r="A162" s="11"/>
      <c r="B162" s="11"/>
      <c r="C162" s="11"/>
      <c r="D162" s="11"/>
      <c r="E162" s="11"/>
      <c r="F162" s="11"/>
      <c r="G162" s="11"/>
      <c r="H162" s="11"/>
      <c r="I162" s="11"/>
      <c r="J162" s="13"/>
      <c r="K162" s="11"/>
      <c r="L162" s="11"/>
      <c r="M162" s="11"/>
      <c r="N162" s="11"/>
    </row>
    <row r="163" customFormat="false" ht="30" hidden="false" customHeight="true" outlineLevel="0" collapsed="false">
      <c r="A163" s="11"/>
      <c r="B163" s="11"/>
      <c r="C163" s="11"/>
      <c r="D163" s="11"/>
      <c r="E163" s="11"/>
      <c r="F163" s="11"/>
      <c r="G163" s="11"/>
      <c r="H163" s="11"/>
      <c r="I163" s="11"/>
      <c r="J163" s="13"/>
      <c r="K163" s="11"/>
      <c r="L163" s="11"/>
      <c r="M163" s="11"/>
      <c r="N163" s="11"/>
    </row>
    <row r="164" customFormat="false" ht="30" hidden="false" customHeight="true" outlineLevel="0" collapsed="false">
      <c r="A164" s="11"/>
      <c r="B164" s="11"/>
      <c r="C164" s="11"/>
      <c r="D164" s="11"/>
      <c r="E164" s="11"/>
      <c r="F164" s="11"/>
      <c r="G164" s="11"/>
      <c r="H164" s="11"/>
      <c r="I164" s="11"/>
      <c r="J164" s="13"/>
      <c r="K164" s="11"/>
      <c r="L164" s="11"/>
      <c r="M164" s="11"/>
      <c r="N164" s="11"/>
    </row>
    <row r="165" customFormat="false" ht="30" hidden="false" customHeight="true" outlineLevel="0" collapsed="false">
      <c r="A165" s="11"/>
      <c r="B165" s="11"/>
      <c r="C165" s="11"/>
      <c r="D165" s="11"/>
      <c r="E165" s="11"/>
      <c r="F165" s="11"/>
      <c r="G165" s="11"/>
      <c r="H165" s="11"/>
      <c r="I165" s="11"/>
      <c r="J165" s="13"/>
      <c r="K165" s="11"/>
      <c r="L165" s="11"/>
      <c r="M165" s="11"/>
      <c r="N165" s="11"/>
    </row>
    <row r="166" customFormat="false" ht="30" hidden="false" customHeight="true" outlineLevel="0" collapsed="false">
      <c r="A166" s="11"/>
      <c r="B166" s="11"/>
      <c r="C166" s="11"/>
      <c r="D166" s="11"/>
      <c r="E166" s="11"/>
      <c r="F166" s="11"/>
      <c r="G166" s="11"/>
      <c r="H166" s="11"/>
      <c r="I166" s="11"/>
      <c r="J166" s="13"/>
      <c r="K166" s="11"/>
      <c r="L166" s="11"/>
      <c r="M166" s="11"/>
      <c r="N166" s="11"/>
    </row>
    <row r="167" customFormat="false" ht="30" hidden="false" customHeight="true" outlineLevel="0" collapsed="false">
      <c r="A167" s="11"/>
      <c r="B167" s="11"/>
      <c r="C167" s="11"/>
      <c r="D167" s="11"/>
      <c r="E167" s="11"/>
      <c r="F167" s="11"/>
      <c r="G167" s="11"/>
      <c r="H167" s="11"/>
      <c r="I167" s="11"/>
      <c r="J167" s="13"/>
      <c r="K167" s="11"/>
      <c r="L167" s="11"/>
      <c r="M167" s="11"/>
      <c r="N167" s="11"/>
    </row>
    <row r="168" customFormat="false" ht="30" hidden="false" customHeight="true" outlineLevel="0" collapsed="false">
      <c r="A168" s="11"/>
      <c r="B168" s="11"/>
      <c r="C168" s="11"/>
      <c r="D168" s="11"/>
      <c r="E168" s="11"/>
      <c r="F168" s="11"/>
      <c r="G168" s="11"/>
      <c r="H168" s="11"/>
      <c r="I168" s="11"/>
      <c r="J168" s="13"/>
      <c r="K168" s="11"/>
      <c r="L168" s="11"/>
      <c r="M168" s="11"/>
      <c r="N168" s="11"/>
    </row>
    <row r="169" customFormat="false" ht="30" hidden="false" customHeight="true" outlineLevel="0" collapsed="false">
      <c r="A169" s="11"/>
      <c r="B169" s="11"/>
      <c r="C169" s="11"/>
      <c r="D169" s="11"/>
      <c r="E169" s="11"/>
      <c r="F169" s="11"/>
      <c r="G169" s="11"/>
      <c r="H169" s="11"/>
      <c r="I169" s="11"/>
      <c r="J169" s="13"/>
      <c r="K169" s="11"/>
      <c r="L169" s="11"/>
      <c r="M169" s="11"/>
      <c r="N169" s="11"/>
    </row>
    <row r="170" customFormat="false" ht="30" hidden="false" customHeight="true" outlineLevel="0" collapsed="false">
      <c r="A170" s="11"/>
      <c r="B170" s="11"/>
      <c r="C170" s="11"/>
      <c r="D170" s="11"/>
      <c r="E170" s="11"/>
      <c r="F170" s="11"/>
      <c r="G170" s="11"/>
      <c r="H170" s="11"/>
      <c r="I170" s="11"/>
      <c r="J170" s="13"/>
      <c r="K170" s="11"/>
      <c r="L170" s="11"/>
      <c r="M170" s="11"/>
      <c r="N170" s="11"/>
    </row>
    <row r="171" customFormat="false" ht="30" hidden="false" customHeight="true" outlineLevel="0" collapsed="false">
      <c r="A171" s="11"/>
      <c r="B171" s="11"/>
      <c r="C171" s="11"/>
      <c r="D171" s="11"/>
      <c r="E171" s="11"/>
      <c r="F171" s="11"/>
      <c r="G171" s="11"/>
      <c r="H171" s="11"/>
      <c r="I171" s="11"/>
      <c r="J171" s="13"/>
      <c r="K171" s="11"/>
      <c r="L171" s="11"/>
      <c r="M171" s="11"/>
      <c r="N171" s="11"/>
    </row>
    <row r="172" customFormat="false" ht="30" hidden="false" customHeight="true" outlineLevel="0" collapsed="false">
      <c r="A172" s="11"/>
      <c r="B172" s="11"/>
      <c r="C172" s="11"/>
      <c r="D172" s="11"/>
      <c r="E172" s="11"/>
      <c r="F172" s="11"/>
      <c r="G172" s="11"/>
      <c r="H172" s="11"/>
      <c r="I172" s="11"/>
      <c r="J172" s="13"/>
      <c r="K172" s="11"/>
      <c r="L172" s="11"/>
      <c r="M172" s="11"/>
      <c r="N172" s="11"/>
    </row>
    <row r="173" customFormat="false" ht="30" hidden="false" customHeight="true" outlineLevel="0" collapsed="false">
      <c r="A173" s="11"/>
      <c r="B173" s="11"/>
      <c r="C173" s="11"/>
      <c r="D173" s="11"/>
      <c r="E173" s="11"/>
      <c r="F173" s="11"/>
      <c r="G173" s="11"/>
      <c r="H173" s="11"/>
      <c r="I173" s="11"/>
      <c r="J173" s="13"/>
      <c r="K173" s="11"/>
      <c r="L173" s="11"/>
      <c r="M173" s="11"/>
      <c r="N173" s="11"/>
    </row>
    <row r="174" customFormat="false" ht="30" hidden="false" customHeight="true" outlineLevel="0" collapsed="false">
      <c r="A174" s="11"/>
      <c r="B174" s="11"/>
      <c r="C174" s="11"/>
      <c r="D174" s="11"/>
      <c r="E174" s="11"/>
      <c r="F174" s="11"/>
      <c r="G174" s="11"/>
      <c r="H174" s="11"/>
      <c r="I174" s="11"/>
      <c r="J174" s="13"/>
      <c r="K174" s="11"/>
      <c r="L174" s="11"/>
      <c r="M174" s="11"/>
      <c r="N174" s="11"/>
    </row>
    <row r="175" customFormat="false" ht="30" hidden="false" customHeight="true" outlineLevel="0" collapsed="false">
      <c r="A175" s="11"/>
      <c r="B175" s="11"/>
      <c r="C175" s="11"/>
      <c r="D175" s="11"/>
      <c r="E175" s="11"/>
      <c r="F175" s="11"/>
      <c r="G175" s="11"/>
      <c r="H175" s="11"/>
      <c r="I175" s="11"/>
      <c r="J175" s="13"/>
      <c r="K175" s="11"/>
      <c r="L175" s="11"/>
      <c r="M175" s="11"/>
      <c r="N175" s="11"/>
    </row>
    <row r="176" customFormat="false" ht="30" hidden="false" customHeight="true" outlineLevel="0" collapsed="false">
      <c r="A176" s="11"/>
      <c r="B176" s="11"/>
      <c r="C176" s="11"/>
      <c r="D176" s="11"/>
      <c r="E176" s="11"/>
      <c r="F176" s="11"/>
      <c r="G176" s="11"/>
      <c r="H176" s="11"/>
      <c r="I176" s="11"/>
      <c r="J176" s="13"/>
      <c r="K176" s="11"/>
      <c r="L176" s="11"/>
      <c r="M176" s="11"/>
      <c r="N176" s="11"/>
    </row>
    <row r="177" customFormat="false" ht="30" hidden="false" customHeight="true" outlineLevel="0" collapsed="false">
      <c r="A177" s="11"/>
      <c r="B177" s="11"/>
      <c r="C177" s="11"/>
      <c r="D177" s="11"/>
      <c r="E177" s="11"/>
      <c r="F177" s="11"/>
      <c r="G177" s="11"/>
      <c r="H177" s="11"/>
      <c r="I177" s="11"/>
      <c r="J177" s="13"/>
      <c r="K177" s="11"/>
      <c r="L177" s="11"/>
      <c r="M177" s="11"/>
      <c r="N177" s="11"/>
    </row>
    <row r="178" customFormat="false" ht="30" hidden="false" customHeight="true" outlineLevel="0" collapsed="false">
      <c r="A178" s="11"/>
      <c r="B178" s="11"/>
      <c r="C178" s="11"/>
      <c r="D178" s="11"/>
      <c r="E178" s="11"/>
      <c r="F178" s="11"/>
      <c r="G178" s="11"/>
      <c r="H178" s="11"/>
      <c r="I178" s="11"/>
      <c r="J178" s="13"/>
      <c r="K178" s="11"/>
      <c r="L178" s="11"/>
      <c r="M178" s="11"/>
      <c r="N178" s="11"/>
    </row>
    <row r="179" customFormat="false" ht="30" hidden="false" customHeight="true" outlineLevel="0" collapsed="false">
      <c r="A179" s="11"/>
      <c r="B179" s="11"/>
      <c r="C179" s="11"/>
      <c r="D179" s="11"/>
      <c r="E179" s="11"/>
      <c r="F179" s="11"/>
      <c r="G179" s="11"/>
      <c r="H179" s="11"/>
      <c r="I179" s="11"/>
      <c r="J179" s="13"/>
      <c r="K179" s="11"/>
      <c r="L179" s="11"/>
      <c r="M179" s="11"/>
      <c r="N179" s="11"/>
    </row>
    <row r="180" customFormat="false" ht="30" hidden="false" customHeight="true" outlineLevel="0" collapsed="false">
      <c r="A180" s="11"/>
      <c r="B180" s="11"/>
      <c r="C180" s="11"/>
      <c r="D180" s="11"/>
      <c r="E180" s="11"/>
      <c r="F180" s="11"/>
      <c r="G180" s="11"/>
      <c r="H180" s="11"/>
      <c r="I180" s="11"/>
      <c r="J180" s="13"/>
      <c r="K180" s="11"/>
      <c r="L180" s="11"/>
      <c r="M180" s="11"/>
      <c r="N180" s="11"/>
    </row>
    <row r="181" customFormat="false" ht="30" hidden="false" customHeight="true" outlineLevel="0" collapsed="false">
      <c r="A181" s="11"/>
      <c r="B181" s="11"/>
      <c r="C181" s="11"/>
      <c r="D181" s="11"/>
      <c r="E181" s="11"/>
      <c r="F181" s="11"/>
      <c r="G181" s="11"/>
      <c r="H181" s="11"/>
      <c r="I181" s="11"/>
      <c r="J181" s="13"/>
      <c r="K181" s="11"/>
      <c r="L181" s="11"/>
      <c r="M181" s="11"/>
      <c r="N181" s="11"/>
    </row>
    <row r="182" customFormat="false" ht="30" hidden="false" customHeight="true" outlineLevel="0" collapsed="false">
      <c r="A182" s="11"/>
      <c r="B182" s="11"/>
      <c r="C182" s="11"/>
      <c r="D182" s="11"/>
      <c r="E182" s="11"/>
      <c r="F182" s="11"/>
      <c r="G182" s="11"/>
      <c r="H182" s="11"/>
      <c r="I182" s="11"/>
      <c r="J182" s="13"/>
      <c r="K182" s="11"/>
      <c r="L182" s="11"/>
      <c r="M182" s="11"/>
      <c r="N182" s="11"/>
    </row>
    <row r="183" customFormat="false" ht="30" hidden="false" customHeight="true" outlineLevel="0" collapsed="false">
      <c r="A183" s="11"/>
      <c r="B183" s="11"/>
      <c r="C183" s="11"/>
      <c r="D183" s="11"/>
      <c r="E183" s="11"/>
      <c r="F183" s="11"/>
      <c r="G183" s="11"/>
      <c r="H183" s="11"/>
      <c r="I183" s="11"/>
      <c r="J183" s="13"/>
      <c r="K183" s="11"/>
      <c r="L183" s="11"/>
      <c r="M183" s="11"/>
      <c r="N183" s="11"/>
    </row>
    <row r="184" customFormat="false" ht="30" hidden="false" customHeight="true" outlineLevel="0" collapsed="false">
      <c r="A184" s="11"/>
      <c r="B184" s="11"/>
      <c r="C184" s="11"/>
      <c r="D184" s="11"/>
      <c r="E184" s="11"/>
      <c r="F184" s="11"/>
      <c r="G184" s="11"/>
      <c r="H184" s="11"/>
      <c r="I184" s="11"/>
      <c r="J184" s="13"/>
      <c r="K184" s="11"/>
      <c r="L184" s="11"/>
      <c r="M184" s="11"/>
      <c r="N184" s="11"/>
    </row>
    <row r="185" customFormat="false" ht="30" hidden="false" customHeight="true" outlineLevel="0" collapsed="false">
      <c r="A185" s="11"/>
      <c r="B185" s="11"/>
      <c r="C185" s="11"/>
      <c r="D185" s="11"/>
      <c r="E185" s="11"/>
      <c r="F185" s="11"/>
      <c r="G185" s="11"/>
      <c r="H185" s="11"/>
      <c r="I185" s="11"/>
      <c r="J185" s="13"/>
      <c r="K185" s="11"/>
      <c r="L185" s="11"/>
      <c r="M185" s="11"/>
      <c r="N185" s="11"/>
    </row>
    <row r="186" customFormat="false" ht="30" hidden="false" customHeight="true" outlineLevel="0" collapsed="false">
      <c r="A186" s="11"/>
      <c r="B186" s="11"/>
      <c r="C186" s="11"/>
      <c r="D186" s="11"/>
      <c r="E186" s="11"/>
      <c r="F186" s="11"/>
      <c r="G186" s="11"/>
      <c r="H186" s="11"/>
      <c r="I186" s="11"/>
      <c r="J186" s="13"/>
      <c r="K186" s="11"/>
      <c r="L186" s="11"/>
      <c r="M186" s="11"/>
      <c r="N186" s="11"/>
    </row>
    <row r="187" customFormat="false" ht="30" hidden="false" customHeight="true" outlineLevel="0" collapsed="false">
      <c r="A187" s="11"/>
      <c r="B187" s="11"/>
      <c r="C187" s="11"/>
      <c r="D187" s="11"/>
      <c r="E187" s="11"/>
      <c r="F187" s="11"/>
      <c r="G187" s="11"/>
      <c r="H187" s="11"/>
      <c r="I187" s="11"/>
      <c r="J187" s="13"/>
      <c r="K187" s="11"/>
      <c r="L187" s="11"/>
      <c r="M187" s="11"/>
      <c r="N187" s="11"/>
    </row>
    <row r="188" customFormat="false" ht="30" hidden="false" customHeight="true" outlineLevel="0" collapsed="false">
      <c r="A188" s="11"/>
      <c r="B188" s="11"/>
      <c r="C188" s="11"/>
      <c r="D188" s="11"/>
      <c r="E188" s="11"/>
      <c r="F188" s="11"/>
      <c r="G188" s="11"/>
      <c r="H188" s="11"/>
      <c r="I188" s="11"/>
      <c r="J188" s="13"/>
      <c r="K188" s="11"/>
      <c r="L188" s="11"/>
      <c r="M188" s="11"/>
      <c r="N188" s="11"/>
    </row>
    <row r="189" customFormat="false" ht="30" hidden="false" customHeight="true" outlineLevel="0" collapsed="false">
      <c r="A189" s="11"/>
      <c r="B189" s="11"/>
      <c r="C189" s="11"/>
      <c r="D189" s="11"/>
      <c r="E189" s="11"/>
      <c r="F189" s="11"/>
      <c r="G189" s="11"/>
      <c r="H189" s="11"/>
      <c r="I189" s="11"/>
      <c r="J189" s="13"/>
      <c r="K189" s="11"/>
      <c r="L189" s="11"/>
      <c r="M189" s="11"/>
      <c r="N189" s="11"/>
    </row>
    <row r="190" customFormat="false" ht="30" hidden="false" customHeight="true" outlineLevel="0" collapsed="false">
      <c r="A190" s="11"/>
      <c r="B190" s="11"/>
      <c r="C190" s="11"/>
      <c r="D190" s="11"/>
      <c r="E190" s="11"/>
      <c r="F190" s="11"/>
      <c r="G190" s="11"/>
      <c r="H190" s="11"/>
      <c r="I190" s="11"/>
      <c r="J190" s="13"/>
      <c r="K190" s="11"/>
      <c r="L190" s="11"/>
      <c r="M190" s="11"/>
      <c r="N190" s="11"/>
    </row>
    <row r="191" customFormat="false" ht="30" hidden="false" customHeight="true" outlineLevel="0" collapsed="false">
      <c r="A191" s="11"/>
      <c r="B191" s="11"/>
      <c r="C191" s="11"/>
      <c r="D191" s="11"/>
      <c r="E191" s="11"/>
      <c r="F191" s="11"/>
      <c r="G191" s="11"/>
      <c r="H191" s="11"/>
      <c r="I191" s="11"/>
      <c r="J191" s="13"/>
      <c r="K191" s="11"/>
      <c r="L191" s="11"/>
      <c r="M191" s="11"/>
      <c r="N191" s="11"/>
    </row>
    <row r="192" customFormat="false" ht="30" hidden="false" customHeight="true" outlineLevel="0" collapsed="false">
      <c r="A192" s="11"/>
      <c r="B192" s="11"/>
      <c r="C192" s="11"/>
      <c r="D192" s="11"/>
      <c r="E192" s="11"/>
      <c r="F192" s="11"/>
      <c r="G192" s="11"/>
      <c r="H192" s="11"/>
      <c r="I192" s="11"/>
      <c r="J192" s="13"/>
      <c r="K192" s="11"/>
      <c r="L192" s="11"/>
      <c r="M192" s="11"/>
      <c r="N192" s="11"/>
    </row>
    <row r="193" customFormat="false" ht="30" hidden="false" customHeight="true" outlineLevel="0" collapsed="false">
      <c r="A193" s="11"/>
      <c r="B193" s="11"/>
      <c r="C193" s="11"/>
      <c r="D193" s="11"/>
      <c r="E193" s="11"/>
      <c r="F193" s="11"/>
      <c r="G193" s="11"/>
      <c r="H193" s="11"/>
      <c r="I193" s="11"/>
      <c r="J193" s="13"/>
      <c r="K193" s="11"/>
      <c r="L193" s="11"/>
      <c r="M193" s="11"/>
      <c r="N193" s="11"/>
    </row>
    <row r="194" customFormat="false" ht="30" hidden="false" customHeight="true" outlineLevel="0" collapsed="false">
      <c r="A194" s="11"/>
      <c r="B194" s="11"/>
      <c r="C194" s="11"/>
      <c r="D194" s="11"/>
      <c r="E194" s="11"/>
      <c r="F194" s="11"/>
      <c r="G194" s="11"/>
      <c r="H194" s="11"/>
      <c r="I194" s="11"/>
      <c r="J194" s="13"/>
      <c r="K194" s="11"/>
      <c r="L194" s="11"/>
      <c r="M194" s="11"/>
      <c r="N194" s="11"/>
    </row>
    <row r="195" customFormat="false" ht="30" hidden="false" customHeight="true" outlineLevel="0" collapsed="false">
      <c r="A195" s="11"/>
      <c r="B195" s="11"/>
      <c r="C195" s="11"/>
      <c r="D195" s="11"/>
      <c r="E195" s="11"/>
      <c r="F195" s="11"/>
      <c r="G195" s="11"/>
      <c r="H195" s="11"/>
      <c r="I195" s="11"/>
      <c r="J195" s="13"/>
      <c r="K195" s="11"/>
      <c r="L195" s="11"/>
      <c r="M195" s="11"/>
      <c r="N195" s="11"/>
    </row>
    <row r="196" customFormat="false" ht="30" hidden="false" customHeight="true" outlineLevel="0" collapsed="false">
      <c r="A196" s="11"/>
      <c r="B196" s="11"/>
      <c r="C196" s="11"/>
      <c r="D196" s="11"/>
      <c r="E196" s="11"/>
      <c r="F196" s="11"/>
      <c r="G196" s="11"/>
      <c r="H196" s="11"/>
      <c r="I196" s="11"/>
      <c r="J196" s="13"/>
      <c r="K196" s="11"/>
      <c r="L196" s="11"/>
      <c r="M196" s="11"/>
      <c r="N196" s="11"/>
    </row>
    <row r="197" customFormat="false" ht="30" hidden="false" customHeight="true" outlineLevel="0" collapsed="false">
      <c r="A197" s="11"/>
      <c r="B197" s="11"/>
      <c r="C197" s="11"/>
      <c r="D197" s="11"/>
      <c r="E197" s="11"/>
      <c r="F197" s="11"/>
      <c r="G197" s="11"/>
      <c r="H197" s="11"/>
      <c r="I197" s="11"/>
      <c r="J197" s="13"/>
      <c r="K197" s="11"/>
      <c r="L197" s="11"/>
      <c r="M197" s="11"/>
      <c r="N197" s="11"/>
    </row>
    <row r="198" customFormat="false" ht="30" hidden="false" customHeight="true" outlineLevel="0" collapsed="false">
      <c r="A198" s="11"/>
      <c r="B198" s="11"/>
      <c r="C198" s="11"/>
      <c r="D198" s="11"/>
      <c r="E198" s="11"/>
      <c r="F198" s="11"/>
      <c r="G198" s="11"/>
      <c r="H198" s="11"/>
      <c r="I198" s="11"/>
      <c r="J198" s="13"/>
      <c r="K198" s="11"/>
      <c r="L198" s="11"/>
      <c r="M198" s="11"/>
      <c r="N198" s="11"/>
    </row>
    <row r="199" customFormat="false" ht="30" hidden="false" customHeight="true" outlineLevel="0" collapsed="false">
      <c r="A199" s="11"/>
      <c r="B199" s="11"/>
      <c r="C199" s="11"/>
      <c r="D199" s="11"/>
      <c r="E199" s="11"/>
      <c r="F199" s="11"/>
      <c r="G199" s="11"/>
      <c r="H199" s="11"/>
      <c r="I199" s="11"/>
      <c r="J199" s="13"/>
      <c r="K199" s="11"/>
      <c r="L199" s="11"/>
      <c r="M199" s="11"/>
      <c r="N199" s="11"/>
    </row>
    <row r="200" customFormat="false" ht="30" hidden="false" customHeight="true" outlineLevel="0" collapsed="false">
      <c r="A200" s="11"/>
      <c r="B200" s="11"/>
      <c r="C200" s="11"/>
      <c r="D200" s="11"/>
      <c r="E200" s="11"/>
      <c r="F200" s="11"/>
      <c r="G200" s="11"/>
      <c r="H200" s="11"/>
      <c r="I200" s="11"/>
      <c r="J200" s="13"/>
      <c r="K200" s="11"/>
      <c r="L200" s="11"/>
      <c r="M200" s="11"/>
      <c r="N200" s="11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A2:N200"/>
  <mergeCells count="10">
    <mergeCell ref="C1:D1"/>
    <mergeCell ref="B3:B11"/>
    <mergeCell ref="B12:B14"/>
    <mergeCell ref="B15:B17"/>
    <mergeCell ref="B18:B30"/>
    <mergeCell ref="B31:B41"/>
    <mergeCell ref="B42:B51"/>
    <mergeCell ref="B52:B62"/>
    <mergeCell ref="B63:B69"/>
    <mergeCell ref="B70:B71"/>
  </mergeCells>
  <dataValidations count="3">
    <dataValidation allowBlank="true" errorStyle="stop" operator="between" showDropDown="false" showErrorMessage="false" showInputMessage="false" sqref="M3:M200" type="list">
      <formula1>"비회원,회원,작성자 본인,관리자"</formula1>
      <formula2>0</formula2>
    </dataValidation>
    <dataValidation allowBlank="true" errorStyle="stop" operator="between" showDropDown="false" showErrorMessage="false" showInputMessage="false" sqref="I3:I200" type="list">
      <formula1>"RAG,AI Agent,멀티모달,자동화,Memory"</formula1>
      <formula2>0</formula2>
    </dataValidation>
    <dataValidation allowBlank="true" errorStyle="stop" operator="between" showDropDown="false" showErrorMessage="false" showInputMessage="false" sqref="J3:J200" type="list">
      <formula1>"Must,Should,Could,Won't"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34"/>
    <col collapsed="false" customWidth="true" hidden="false" outlineLevel="0" max="4" min="4" style="1" width="30"/>
    <col collapsed="false" customWidth="true" hidden="false" outlineLevel="0" max="5" min="5" style="1" width="34"/>
    <col collapsed="false" customWidth="true" hidden="false" outlineLevel="0" max="6" min="6" style="1" width="16"/>
    <col collapsed="false" customWidth="true" hidden="false" outlineLevel="0" max="26" min="7" style="1" width="8.71"/>
  </cols>
  <sheetData>
    <row r="1" customFormat="false" ht="30" hidden="false" customHeight="true" outlineLevel="0" collapsed="false">
      <c r="A1" s="28" t="s">
        <v>695</v>
      </c>
      <c r="B1" s="28"/>
      <c r="C1" s="28"/>
      <c r="D1" s="28"/>
      <c r="E1" s="28"/>
      <c r="F1" s="28"/>
    </row>
    <row r="2" customFormat="false" ht="15" hidden="false" customHeight="true" outlineLevel="0" collapsed="false">
      <c r="A2" s="3" t="s">
        <v>696</v>
      </c>
      <c r="B2" s="3"/>
      <c r="C2" s="3"/>
      <c r="D2" s="3"/>
      <c r="E2" s="3"/>
      <c r="F2" s="3"/>
    </row>
    <row r="4" customFormat="false" ht="24" hidden="false" customHeight="true" outlineLevel="0" collapsed="false">
      <c r="A4" s="29" t="s">
        <v>697</v>
      </c>
      <c r="B4" s="29"/>
      <c r="C4" s="29"/>
      <c r="D4" s="29"/>
      <c r="E4" s="29"/>
      <c r="F4" s="29"/>
    </row>
    <row r="5" customFormat="false" ht="30" hidden="false" customHeight="true" outlineLevel="0" collapsed="false">
      <c r="A5" s="30" t="s">
        <v>698</v>
      </c>
      <c r="B5" s="30"/>
      <c r="C5" s="30"/>
      <c r="D5" s="30"/>
      <c r="E5" s="30"/>
      <c r="F5" s="30"/>
    </row>
    <row r="6" customFormat="false" ht="15" hidden="false" customHeight="true" outlineLevel="0" collapsed="false">
      <c r="A6" s="5" t="s">
        <v>699</v>
      </c>
      <c r="B6" s="5" t="s">
        <v>700</v>
      </c>
      <c r="C6" s="5" t="s">
        <v>701</v>
      </c>
      <c r="D6" s="5" t="s">
        <v>702</v>
      </c>
      <c r="E6" s="5" t="s">
        <v>703</v>
      </c>
      <c r="F6" s="5" t="s">
        <v>704</v>
      </c>
    </row>
    <row r="7" customFormat="false" ht="27.75" hidden="false" customHeight="true" outlineLevel="0" collapsed="false">
      <c r="A7" s="31" t="s">
        <v>705</v>
      </c>
      <c r="B7" s="11" t="s">
        <v>706</v>
      </c>
      <c r="C7" s="31" t="s">
        <v>707</v>
      </c>
      <c r="D7" s="11" t="s">
        <v>708</v>
      </c>
      <c r="E7" s="11" t="s">
        <v>709</v>
      </c>
      <c r="F7" s="31" t="s">
        <v>276</v>
      </c>
    </row>
    <row r="8" customFormat="false" ht="27.75" hidden="false" customHeight="true" outlineLevel="0" collapsed="false">
      <c r="A8" s="31" t="s">
        <v>710</v>
      </c>
      <c r="B8" s="11" t="s">
        <v>711</v>
      </c>
      <c r="C8" s="31" t="s">
        <v>712</v>
      </c>
      <c r="D8" s="11" t="s">
        <v>713</v>
      </c>
      <c r="E8" s="11" t="s">
        <v>714</v>
      </c>
      <c r="F8" s="31" t="s">
        <v>359</v>
      </c>
    </row>
    <row r="9" customFormat="false" ht="27.75" hidden="false" customHeight="true" outlineLevel="0" collapsed="false">
      <c r="A9" s="31" t="s">
        <v>715</v>
      </c>
      <c r="B9" s="11" t="s">
        <v>716</v>
      </c>
      <c r="C9" s="31" t="s">
        <v>717</v>
      </c>
      <c r="D9" s="11" t="s">
        <v>718</v>
      </c>
      <c r="E9" s="11" t="s">
        <v>719</v>
      </c>
      <c r="F9" s="31" t="s">
        <v>369</v>
      </c>
    </row>
    <row r="10" customFormat="false" ht="27.75" hidden="false" customHeight="true" outlineLevel="0" collapsed="false">
      <c r="A10" s="31" t="s">
        <v>720</v>
      </c>
      <c r="B10" s="11" t="s">
        <v>721</v>
      </c>
      <c r="C10" s="31" t="s">
        <v>722</v>
      </c>
      <c r="D10" s="11" t="s">
        <v>723</v>
      </c>
      <c r="E10" s="11" t="s">
        <v>724</v>
      </c>
      <c r="F10" s="31" t="s">
        <v>369</v>
      </c>
    </row>
    <row r="11" customFormat="false" ht="27.75" hidden="false" customHeight="true" outlineLevel="0" collapsed="false">
      <c r="A11" s="31" t="s">
        <v>725</v>
      </c>
      <c r="B11" s="11" t="s">
        <v>726</v>
      </c>
      <c r="C11" s="31" t="s">
        <v>727</v>
      </c>
      <c r="D11" s="11" t="s">
        <v>728</v>
      </c>
      <c r="E11" s="11" t="s">
        <v>729</v>
      </c>
      <c r="F11" s="31" t="s">
        <v>579</v>
      </c>
    </row>
    <row r="12" customFormat="false" ht="27.75" hidden="false" customHeight="true" outlineLevel="0" collapsed="false">
      <c r="A12" s="31" t="s">
        <v>730</v>
      </c>
      <c r="B12" s="11" t="s">
        <v>731</v>
      </c>
      <c r="C12" s="31" t="s">
        <v>732</v>
      </c>
      <c r="D12" s="11" t="s">
        <v>733</v>
      </c>
      <c r="E12" s="11" t="s">
        <v>734</v>
      </c>
      <c r="F12" s="31" t="s">
        <v>379</v>
      </c>
    </row>
    <row r="15" customFormat="false" ht="24" hidden="false" customHeight="true" outlineLevel="0" collapsed="false">
      <c r="A15" s="29" t="s">
        <v>735</v>
      </c>
      <c r="B15" s="29"/>
      <c r="C15" s="29"/>
    </row>
    <row r="16" customFormat="false" ht="30" hidden="false" customHeight="true" outlineLevel="0" collapsed="false">
      <c r="A16" s="32" t="s">
        <v>736</v>
      </c>
      <c r="B16" s="32"/>
      <c r="C16" s="32"/>
    </row>
    <row r="17" customFormat="false" ht="15" hidden="false" customHeight="true" outlineLevel="0" collapsed="false">
      <c r="A17" s="5" t="s">
        <v>737</v>
      </c>
      <c r="B17" s="5" t="s">
        <v>738</v>
      </c>
      <c r="C17" s="5" t="s">
        <v>739</v>
      </c>
    </row>
    <row r="18" customFormat="false" ht="27.75" hidden="false" customHeight="true" outlineLevel="0" collapsed="false">
      <c r="A18" s="11" t="s">
        <v>740</v>
      </c>
      <c r="B18" s="31" t="s">
        <v>741</v>
      </c>
      <c r="C18" s="31" t="s">
        <v>742</v>
      </c>
    </row>
    <row r="19" customFormat="false" ht="27.75" hidden="false" customHeight="true" outlineLevel="0" collapsed="false">
      <c r="A19" s="11" t="s">
        <v>743</v>
      </c>
      <c r="B19" s="11" t="s">
        <v>744</v>
      </c>
      <c r="C19" s="11" t="s">
        <v>745</v>
      </c>
    </row>
    <row r="20" customFormat="false" ht="27.75" hidden="false" customHeight="true" outlineLevel="0" collapsed="false">
      <c r="A20" s="11" t="s">
        <v>746</v>
      </c>
      <c r="B20" s="11" t="s">
        <v>747</v>
      </c>
      <c r="C20" s="11" t="s">
        <v>748</v>
      </c>
    </row>
    <row r="21" customFormat="false" ht="27.75" hidden="false" customHeight="true" outlineLevel="0" collapsed="false">
      <c r="A21" s="11" t="s">
        <v>749</v>
      </c>
      <c r="B21" s="31" t="s">
        <v>750</v>
      </c>
      <c r="C21" s="11" t="s">
        <v>751</v>
      </c>
    </row>
    <row r="22" customFormat="false" ht="27.75" hidden="false" customHeight="true" outlineLevel="0" collapsed="false">
      <c r="A22" s="11" t="s">
        <v>752</v>
      </c>
      <c r="B22" s="11" t="s">
        <v>753</v>
      </c>
      <c r="C22" s="11" t="s">
        <v>754</v>
      </c>
    </row>
    <row r="23" customFormat="false" ht="15.75" hidden="false" customHeight="true" outlineLevel="0" collapsed="false">
      <c r="A23" s="33" t="s">
        <v>755</v>
      </c>
      <c r="B23" s="33" t="s">
        <v>756</v>
      </c>
      <c r="C23" s="33" t="s">
        <v>757</v>
      </c>
    </row>
    <row r="24" customFormat="false" ht="15.75" hidden="false" customHeight="true" outlineLevel="0" collapsed="false"/>
    <row r="25" customFormat="false" ht="24" hidden="false" customHeight="true" outlineLevel="0" collapsed="false">
      <c r="A25" s="29" t="s">
        <v>758</v>
      </c>
      <c r="B25" s="29"/>
      <c r="C25" s="29"/>
      <c r="D25" s="29"/>
    </row>
    <row r="26" customFormat="false" ht="30" hidden="false" customHeight="true" outlineLevel="0" collapsed="false">
      <c r="A26" s="32" t="s">
        <v>759</v>
      </c>
      <c r="B26" s="32"/>
      <c r="C26" s="32"/>
      <c r="D26" s="32"/>
    </row>
    <row r="27" customFormat="false" ht="15.75" hidden="false" customHeight="true" outlineLevel="0" collapsed="false">
      <c r="A27" s="5" t="s">
        <v>66</v>
      </c>
      <c r="B27" s="5" t="s">
        <v>738</v>
      </c>
      <c r="C27" s="5" t="s">
        <v>760</v>
      </c>
      <c r="D27" s="5" t="s">
        <v>62</v>
      </c>
    </row>
    <row r="28" customFormat="false" ht="27.75" hidden="false" customHeight="true" outlineLevel="0" collapsed="false">
      <c r="A28" s="11" t="s">
        <v>761</v>
      </c>
      <c r="B28" s="11" t="s">
        <v>762</v>
      </c>
      <c r="C28" s="11" t="s">
        <v>763</v>
      </c>
      <c r="D28" s="11" t="s">
        <v>764</v>
      </c>
    </row>
    <row r="29" customFormat="false" ht="27.75" hidden="false" customHeight="true" outlineLevel="0" collapsed="false">
      <c r="A29" s="11" t="s">
        <v>765</v>
      </c>
      <c r="B29" s="11" t="s">
        <v>766</v>
      </c>
      <c r="C29" s="11" t="s">
        <v>767</v>
      </c>
      <c r="D29" s="11"/>
    </row>
    <row r="30" customFormat="false" ht="27.75" hidden="false" customHeight="true" outlineLevel="0" collapsed="false">
      <c r="A30" s="11" t="s">
        <v>768</v>
      </c>
      <c r="B30" s="31" t="s">
        <v>769</v>
      </c>
      <c r="C30" s="11" t="s">
        <v>770</v>
      </c>
      <c r="D30" s="11" t="s">
        <v>771</v>
      </c>
    </row>
    <row r="31" customFormat="false" ht="27.75" hidden="false" customHeight="true" outlineLevel="0" collapsed="false">
      <c r="A31" s="11" t="s">
        <v>772</v>
      </c>
      <c r="B31" s="31" t="s">
        <v>773</v>
      </c>
      <c r="C31" s="31" t="s">
        <v>774</v>
      </c>
      <c r="D31" s="11"/>
    </row>
    <row r="32" customFormat="false" ht="27.75" hidden="false" customHeight="true" outlineLevel="0" collapsed="false">
      <c r="A32" s="11" t="s">
        <v>775</v>
      </c>
      <c r="B32" s="31" t="s">
        <v>776</v>
      </c>
      <c r="C32" s="11" t="s">
        <v>777</v>
      </c>
      <c r="D32" s="11"/>
    </row>
    <row r="33" customFormat="false" ht="27.75" hidden="false" customHeight="true" outlineLevel="0" collapsed="false">
      <c r="A33" s="11" t="s">
        <v>778</v>
      </c>
      <c r="B33" s="31" t="s">
        <v>779</v>
      </c>
      <c r="C33" s="11" t="s">
        <v>780</v>
      </c>
      <c r="D33" s="11"/>
    </row>
    <row r="34" customFormat="false" ht="27.75" hidden="false" customHeight="true" outlineLevel="0" collapsed="false">
      <c r="A34" s="11" t="s">
        <v>781</v>
      </c>
      <c r="B34" s="11" t="s">
        <v>782</v>
      </c>
      <c r="C34" s="11" t="s">
        <v>783</v>
      </c>
      <c r="D34" s="11"/>
    </row>
    <row r="35" customFormat="false" ht="27.75" hidden="false" customHeight="true" outlineLevel="0" collapsed="false">
      <c r="A35" s="31" t="s">
        <v>784</v>
      </c>
      <c r="B35" s="11" t="s">
        <v>785</v>
      </c>
      <c r="C35" s="31" t="s">
        <v>786</v>
      </c>
      <c r="D35" s="11"/>
    </row>
    <row r="36" customFormat="false" ht="27.75" hidden="false" customHeight="true" outlineLevel="0" collapsed="false">
      <c r="A36" s="11" t="s">
        <v>787</v>
      </c>
      <c r="B36" s="11" t="s">
        <v>788</v>
      </c>
      <c r="C36" s="31" t="s">
        <v>789</v>
      </c>
      <c r="D36" s="11" t="s">
        <v>790</v>
      </c>
    </row>
    <row r="37" customFormat="false" ht="15.75" hidden="false" customHeight="true" outlineLevel="0" collapsed="false">
      <c r="A37" s="33" t="s">
        <v>791</v>
      </c>
      <c r="B37" s="33" t="s">
        <v>792</v>
      </c>
      <c r="C37" s="33" t="s">
        <v>793</v>
      </c>
      <c r="D37" s="33" t="s">
        <v>794</v>
      </c>
    </row>
    <row r="38" customFormat="false" ht="15.75" hidden="false" customHeight="true" outlineLevel="0" collapsed="false">
      <c r="A38" s="34" t="s">
        <v>795</v>
      </c>
      <c r="B38" s="34" t="s">
        <v>796</v>
      </c>
      <c r="C38" s="34" t="s">
        <v>797</v>
      </c>
      <c r="D38" s="1" t="s">
        <v>798</v>
      </c>
    </row>
    <row r="39" customFormat="false" ht="24" hidden="false" customHeight="true" outlineLevel="0" collapsed="false">
      <c r="A39" s="35" t="s">
        <v>799</v>
      </c>
      <c r="B39" s="35"/>
      <c r="C39" s="35"/>
      <c r="D39" s="35"/>
    </row>
    <row r="40" customFormat="false" ht="30" hidden="false" customHeight="true" outlineLevel="0" collapsed="false">
      <c r="A40" s="32" t="s">
        <v>800</v>
      </c>
      <c r="B40" s="32"/>
      <c r="C40" s="32"/>
      <c r="D40" s="32"/>
    </row>
    <row r="41" customFormat="false" ht="15.75" hidden="false" customHeight="true" outlineLevel="0" collapsed="false">
      <c r="A41" s="5" t="s">
        <v>801</v>
      </c>
      <c r="B41" s="5" t="s">
        <v>802</v>
      </c>
      <c r="C41" s="5" t="s">
        <v>803</v>
      </c>
      <c r="D41" s="5" t="s">
        <v>804</v>
      </c>
    </row>
    <row r="42" customFormat="false" ht="27.75" hidden="false" customHeight="true" outlineLevel="0" collapsed="false">
      <c r="A42" s="11" t="s">
        <v>805</v>
      </c>
      <c r="B42" s="11" t="s">
        <v>806</v>
      </c>
      <c r="C42" s="11" t="s">
        <v>807</v>
      </c>
      <c r="D42" s="31" t="s">
        <v>528</v>
      </c>
    </row>
    <row r="43" customFormat="false" ht="27.75" hidden="false" customHeight="true" outlineLevel="0" collapsed="false">
      <c r="A43" s="11" t="s">
        <v>808</v>
      </c>
      <c r="B43" s="11" t="s">
        <v>809</v>
      </c>
      <c r="C43" s="11" t="s">
        <v>810</v>
      </c>
      <c r="D43" s="31" t="s">
        <v>811</v>
      </c>
    </row>
    <row r="44" customFormat="false" ht="27.75" hidden="false" customHeight="true" outlineLevel="0" collapsed="false">
      <c r="A44" s="11" t="s">
        <v>371</v>
      </c>
      <c r="B44" s="11" t="s">
        <v>812</v>
      </c>
      <c r="C44" s="11" t="s">
        <v>813</v>
      </c>
      <c r="D44" s="31" t="s">
        <v>814</v>
      </c>
    </row>
    <row r="45" customFormat="false" ht="27.75" hidden="false" customHeight="true" outlineLevel="0" collapsed="false">
      <c r="A45" s="11" t="s">
        <v>815</v>
      </c>
      <c r="B45" s="11" t="s">
        <v>816</v>
      </c>
      <c r="C45" s="11" t="s">
        <v>817</v>
      </c>
      <c r="D45" s="11" t="s">
        <v>818</v>
      </c>
    </row>
    <row r="46" customFormat="false" ht="27.75" hidden="false" customHeight="true" outlineLevel="0" collapsed="false">
      <c r="A46" s="11" t="s">
        <v>819</v>
      </c>
      <c r="B46" s="11" t="s">
        <v>820</v>
      </c>
      <c r="C46" s="31" t="s">
        <v>821</v>
      </c>
      <c r="D46" s="11" t="s">
        <v>818</v>
      </c>
    </row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24" hidden="false" customHeight="true" outlineLevel="0" collapsed="false">
      <c r="A49" s="29" t="s">
        <v>822</v>
      </c>
      <c r="B49" s="29"/>
      <c r="C49" s="29"/>
    </row>
    <row r="50" customFormat="false" ht="30" hidden="false" customHeight="true" outlineLevel="0" collapsed="false">
      <c r="A50" s="32" t="s">
        <v>823</v>
      </c>
      <c r="B50" s="32"/>
      <c r="C50" s="32"/>
    </row>
    <row r="51" customFormat="false" ht="15.75" hidden="false" customHeight="true" outlineLevel="0" collapsed="false">
      <c r="A51" s="5" t="s">
        <v>737</v>
      </c>
      <c r="B51" s="5" t="s">
        <v>824</v>
      </c>
      <c r="C51" s="5" t="s">
        <v>62</v>
      </c>
    </row>
    <row r="52" customFormat="false" ht="27.75" hidden="false" customHeight="true" outlineLevel="0" collapsed="false">
      <c r="A52" s="11" t="s">
        <v>825</v>
      </c>
      <c r="B52" s="11" t="s">
        <v>826</v>
      </c>
      <c r="C52" s="11"/>
    </row>
    <row r="53" customFormat="false" ht="27.75" hidden="false" customHeight="true" outlineLevel="0" collapsed="false">
      <c r="A53" s="11" t="s">
        <v>827</v>
      </c>
      <c r="B53" s="11" t="s">
        <v>828</v>
      </c>
      <c r="C53" s="11"/>
    </row>
    <row r="54" customFormat="false" ht="27.75" hidden="false" customHeight="true" outlineLevel="0" collapsed="false">
      <c r="A54" s="11" t="s">
        <v>829</v>
      </c>
      <c r="B54" s="31" t="s">
        <v>830</v>
      </c>
      <c r="C54" s="11" t="s">
        <v>831</v>
      </c>
    </row>
    <row r="55" customFormat="false" ht="27.75" hidden="false" customHeight="true" outlineLevel="0" collapsed="false">
      <c r="A55" s="11" t="s">
        <v>832</v>
      </c>
      <c r="B55" s="11" t="s">
        <v>833</v>
      </c>
      <c r="C55" s="11" t="s">
        <v>834</v>
      </c>
    </row>
    <row r="56" customFormat="false" ht="27.75" hidden="false" customHeight="true" outlineLevel="0" collapsed="false">
      <c r="A56" s="11" t="s">
        <v>835</v>
      </c>
      <c r="B56" s="11" t="s">
        <v>836</v>
      </c>
      <c r="C56" s="31" t="s">
        <v>837</v>
      </c>
    </row>
    <row r="57" customFormat="false" ht="27.75" hidden="false" customHeight="true" outlineLevel="0" collapsed="false">
      <c r="A57" s="11" t="s">
        <v>838</v>
      </c>
      <c r="B57" s="11" t="s">
        <v>839</v>
      </c>
      <c r="C57" s="11" t="s">
        <v>840</v>
      </c>
    </row>
    <row r="58" customFormat="false" ht="27.75" hidden="false" customHeight="true" outlineLevel="0" collapsed="false">
      <c r="A58" s="11" t="s">
        <v>841</v>
      </c>
      <c r="B58" s="11" t="s">
        <v>842</v>
      </c>
      <c r="C58" s="31" t="s">
        <v>198</v>
      </c>
    </row>
    <row r="59" customFormat="false" ht="15.75" hidden="false" customHeight="true" outlineLevel="0" collapsed="false">
      <c r="A59" s="33" t="s">
        <v>843</v>
      </c>
      <c r="B59" s="33" t="s">
        <v>844</v>
      </c>
      <c r="C59" s="1" t="s">
        <v>632</v>
      </c>
    </row>
    <row r="60" customFormat="false" ht="15.75" hidden="false" customHeight="true" outlineLevel="0" collapsed="false"/>
    <row r="61" customFormat="false" ht="24" hidden="false" customHeight="true" outlineLevel="0" collapsed="false">
      <c r="A61" s="29" t="s">
        <v>845</v>
      </c>
      <c r="B61" s="29"/>
      <c r="C61" s="29"/>
      <c r="D61" s="29"/>
    </row>
    <row r="62" customFormat="false" ht="30" hidden="false" customHeight="true" outlineLevel="0" collapsed="false">
      <c r="A62" s="32" t="s">
        <v>846</v>
      </c>
      <c r="B62" s="32"/>
      <c r="C62" s="32"/>
      <c r="D62" s="32"/>
    </row>
    <row r="63" customFormat="false" ht="15.75" hidden="false" customHeight="true" outlineLevel="0" collapsed="false">
      <c r="A63" s="5" t="s">
        <v>847</v>
      </c>
      <c r="B63" s="5" t="s">
        <v>848</v>
      </c>
      <c r="C63" s="5" t="s">
        <v>849</v>
      </c>
      <c r="D63" s="5" t="s">
        <v>850</v>
      </c>
    </row>
    <row r="64" customFormat="false" ht="27.75" hidden="false" customHeight="true" outlineLevel="0" collapsed="false">
      <c r="A64" s="31" t="s">
        <v>851</v>
      </c>
      <c r="B64" s="31" t="s">
        <v>852</v>
      </c>
      <c r="C64" s="11" t="s">
        <v>853</v>
      </c>
      <c r="D64" s="11" t="s">
        <v>854</v>
      </c>
    </row>
    <row r="65" customFormat="false" ht="27.75" hidden="false" customHeight="true" outlineLevel="0" collapsed="false">
      <c r="A65" s="31" t="s">
        <v>855</v>
      </c>
      <c r="B65" s="11" t="s">
        <v>856</v>
      </c>
      <c r="C65" s="11" t="s">
        <v>857</v>
      </c>
      <c r="D65" s="11" t="s">
        <v>858</v>
      </c>
    </row>
    <row r="66" customFormat="false" ht="27.75" hidden="false" customHeight="true" outlineLevel="0" collapsed="false">
      <c r="A66" s="11" t="s">
        <v>859</v>
      </c>
      <c r="B66" s="11" t="s">
        <v>860</v>
      </c>
      <c r="C66" s="11" t="s">
        <v>861</v>
      </c>
      <c r="D66" s="11" t="s">
        <v>862</v>
      </c>
    </row>
    <row r="67" customFormat="false" ht="27.75" hidden="false" customHeight="true" outlineLevel="0" collapsed="false">
      <c r="A67" s="11" t="s">
        <v>863</v>
      </c>
      <c r="B67" s="31" t="s">
        <v>864</v>
      </c>
      <c r="C67" s="11" t="s">
        <v>865</v>
      </c>
      <c r="D67" s="11" t="s">
        <v>866</v>
      </c>
    </row>
    <row r="68" customFormat="false" ht="27.75" hidden="false" customHeight="true" outlineLevel="0" collapsed="false">
      <c r="A68" s="11" t="s">
        <v>867</v>
      </c>
      <c r="B68" s="11" t="s">
        <v>868</v>
      </c>
      <c r="C68" s="11" t="s">
        <v>869</v>
      </c>
      <c r="D68" s="11" t="s">
        <v>870</v>
      </c>
    </row>
    <row r="69" customFormat="false" ht="27.75" hidden="false" customHeight="true" outlineLevel="0" collapsed="false">
      <c r="A69" s="11" t="s">
        <v>871</v>
      </c>
      <c r="B69" s="11" t="s">
        <v>872</v>
      </c>
      <c r="C69" s="11" t="s">
        <v>873</v>
      </c>
      <c r="D69" s="11" t="s">
        <v>874</v>
      </c>
    </row>
    <row r="70" customFormat="false" ht="27.75" hidden="false" customHeight="true" outlineLevel="0" collapsed="false">
      <c r="A70" s="11" t="s">
        <v>875</v>
      </c>
      <c r="B70" s="11" t="s">
        <v>876</v>
      </c>
      <c r="C70" s="11" t="s">
        <v>877</v>
      </c>
      <c r="D70" s="31" t="s">
        <v>878</v>
      </c>
    </row>
    <row r="71" customFormat="false" ht="27.75" hidden="false" customHeight="true" outlineLevel="0" collapsed="false">
      <c r="A71" s="11" t="s">
        <v>879</v>
      </c>
      <c r="B71" s="11" t="s">
        <v>880</v>
      </c>
      <c r="C71" s="11" t="s">
        <v>881</v>
      </c>
      <c r="D71" s="11" t="s">
        <v>882</v>
      </c>
    </row>
    <row r="72" customFormat="false" ht="15.75" hidden="false" customHeight="true" outlineLevel="0" collapsed="false">
      <c r="A72" s="33" t="s">
        <v>883</v>
      </c>
      <c r="B72" s="33" t="s">
        <v>884</v>
      </c>
      <c r="C72" s="33" t="s">
        <v>885</v>
      </c>
      <c r="D72" s="33" t="s">
        <v>886</v>
      </c>
    </row>
    <row r="73" customFormat="false" ht="15.75" hidden="false" customHeight="true" outlineLevel="0" collapsed="false">
      <c r="A73" s="33" t="s">
        <v>887</v>
      </c>
      <c r="B73" s="33" t="s">
        <v>888</v>
      </c>
      <c r="C73" s="1" t="s">
        <v>889</v>
      </c>
      <c r="D73" s="1" t="s">
        <v>890</v>
      </c>
    </row>
    <row r="74" customFormat="false" ht="24" hidden="false" customHeight="true" outlineLevel="0" collapsed="false">
      <c r="A74" s="29" t="s">
        <v>891</v>
      </c>
      <c r="B74" s="29"/>
      <c r="C74" s="29"/>
      <c r="D74" s="29"/>
    </row>
    <row r="75" customFormat="false" ht="30" hidden="false" customHeight="true" outlineLevel="0" collapsed="false">
      <c r="A75" s="32" t="s">
        <v>892</v>
      </c>
      <c r="B75" s="32"/>
      <c r="C75" s="32"/>
      <c r="D75" s="32"/>
    </row>
    <row r="76" customFormat="false" ht="15.75" hidden="false" customHeight="true" outlineLevel="0" collapsed="false">
      <c r="A76" s="5" t="s">
        <v>893</v>
      </c>
      <c r="B76" s="5" t="s">
        <v>894</v>
      </c>
      <c r="C76" s="5" t="s">
        <v>895</v>
      </c>
      <c r="D76" s="5" t="s">
        <v>896</v>
      </c>
    </row>
    <row r="77" customFormat="false" ht="27.75" hidden="false" customHeight="true" outlineLevel="0" collapsed="false">
      <c r="A77" s="11" t="s">
        <v>897</v>
      </c>
      <c r="B77" s="11" t="s">
        <v>898</v>
      </c>
      <c r="C77" s="11" t="s">
        <v>899</v>
      </c>
      <c r="D77" s="11" t="s">
        <v>900</v>
      </c>
    </row>
    <row r="78" customFormat="false" ht="27.75" hidden="false" customHeight="true" outlineLevel="0" collapsed="false">
      <c r="A78" s="11" t="s">
        <v>901</v>
      </c>
      <c r="B78" s="11" t="s">
        <v>902</v>
      </c>
      <c r="C78" s="31" t="s">
        <v>903</v>
      </c>
      <c r="D78" s="11" t="s">
        <v>904</v>
      </c>
    </row>
    <row r="79" customFormat="false" ht="27.75" hidden="false" customHeight="true" outlineLevel="0" collapsed="false">
      <c r="A79" s="11" t="s">
        <v>905</v>
      </c>
      <c r="B79" s="11" t="s">
        <v>906</v>
      </c>
      <c r="C79" s="31" t="s">
        <v>907</v>
      </c>
      <c r="D79" s="11" t="s">
        <v>900</v>
      </c>
    </row>
    <row r="80" customFormat="false" ht="27.75" hidden="false" customHeight="true" outlineLevel="0" collapsed="false">
      <c r="A80" s="11" t="s">
        <v>908</v>
      </c>
      <c r="B80" s="11" t="s">
        <v>909</v>
      </c>
      <c r="C80" s="31" t="s">
        <v>910</v>
      </c>
      <c r="D80" s="11" t="s">
        <v>900</v>
      </c>
    </row>
    <row r="81" customFormat="false" ht="27.75" hidden="false" customHeight="true" outlineLevel="0" collapsed="false">
      <c r="A81" s="11" t="s">
        <v>911</v>
      </c>
      <c r="B81" s="11" t="s">
        <v>912</v>
      </c>
      <c r="C81" s="31" t="s">
        <v>913</v>
      </c>
      <c r="D81" s="11" t="s">
        <v>900</v>
      </c>
    </row>
    <row r="82" customFormat="false" ht="27.75" hidden="false" customHeight="true" outlineLevel="0" collapsed="false">
      <c r="A82" s="11" t="s">
        <v>914</v>
      </c>
      <c r="B82" s="11" t="s">
        <v>915</v>
      </c>
      <c r="C82" s="31" t="s">
        <v>916</v>
      </c>
      <c r="D82" s="11" t="s">
        <v>900</v>
      </c>
    </row>
    <row r="83" customFormat="false" ht="15.75" hidden="false" customHeight="true" outlineLevel="0" collapsed="false">
      <c r="A83" s="33" t="s">
        <v>917</v>
      </c>
      <c r="B83" s="33" t="s">
        <v>918</v>
      </c>
      <c r="C83" s="1" t="s">
        <v>919</v>
      </c>
      <c r="D83" s="33" t="s">
        <v>900</v>
      </c>
    </row>
    <row r="84" customFormat="false" ht="15.75" hidden="false" customHeight="true" outlineLevel="0" collapsed="false">
      <c r="A84" s="33" t="s">
        <v>920</v>
      </c>
      <c r="B84" s="33" t="s">
        <v>921</v>
      </c>
      <c r="C84" s="1" t="s">
        <v>922</v>
      </c>
      <c r="D84" s="33" t="s">
        <v>900</v>
      </c>
    </row>
    <row r="85" customFormat="false" ht="24" hidden="false" customHeight="true" outlineLevel="0" collapsed="false">
      <c r="A85" s="35" t="s">
        <v>923</v>
      </c>
      <c r="B85" s="35"/>
      <c r="C85" s="35"/>
      <c r="D85" s="35"/>
    </row>
    <row r="86" customFormat="false" ht="30" hidden="false" customHeight="true" outlineLevel="0" collapsed="false">
      <c r="A86" s="32" t="s">
        <v>924</v>
      </c>
      <c r="B86" s="32"/>
      <c r="C86" s="32"/>
      <c r="D86" s="32"/>
    </row>
    <row r="87" customFormat="false" ht="15.75" hidden="false" customHeight="true" outlineLevel="0" collapsed="false">
      <c r="A87" s="5" t="s">
        <v>925</v>
      </c>
      <c r="B87" s="5" t="s">
        <v>926</v>
      </c>
      <c r="C87" s="5" t="s">
        <v>927</v>
      </c>
      <c r="D87" s="5" t="s">
        <v>928</v>
      </c>
    </row>
    <row r="88" customFormat="false" ht="27.75" hidden="false" customHeight="true" outlineLevel="0" collapsed="false">
      <c r="A88" s="31" t="s">
        <v>929</v>
      </c>
      <c r="B88" s="31" t="s">
        <v>930</v>
      </c>
      <c r="C88" s="31" t="s">
        <v>931</v>
      </c>
      <c r="D88" s="11" t="s">
        <v>932</v>
      </c>
    </row>
    <row r="89" customFormat="false" ht="27.75" hidden="false" customHeight="true" outlineLevel="0" collapsed="false">
      <c r="A89" s="31" t="s">
        <v>933</v>
      </c>
      <c r="B89" s="31" t="s">
        <v>934</v>
      </c>
      <c r="C89" s="31" t="s">
        <v>935</v>
      </c>
      <c r="D89" s="11" t="s">
        <v>936</v>
      </c>
    </row>
    <row r="90" customFormat="false" ht="27.75" hidden="false" customHeight="true" outlineLevel="0" collapsed="false">
      <c r="A90" s="31" t="s">
        <v>937</v>
      </c>
      <c r="B90" s="31" t="s">
        <v>938</v>
      </c>
      <c r="C90" s="31" t="s">
        <v>935</v>
      </c>
      <c r="D90" s="11" t="s">
        <v>939</v>
      </c>
    </row>
    <row r="91" customFormat="false" ht="27.75" hidden="false" customHeight="true" outlineLevel="0" collapsed="false">
      <c r="A91" s="31" t="s">
        <v>940</v>
      </c>
      <c r="B91" s="31" t="s">
        <v>941</v>
      </c>
      <c r="C91" s="31" t="s">
        <v>935</v>
      </c>
      <c r="D91" s="11" t="s">
        <v>942</v>
      </c>
    </row>
    <row r="92" customFormat="false" ht="27.75" hidden="false" customHeight="true" outlineLevel="0" collapsed="false">
      <c r="A92" s="11" t="s">
        <v>943</v>
      </c>
      <c r="B92" s="11"/>
      <c r="C92" s="11"/>
      <c r="D92" s="11"/>
    </row>
    <row r="93" customFormat="false" ht="27.75" hidden="false" customHeight="true" outlineLevel="0" collapsed="false">
      <c r="A93" s="11"/>
      <c r="B93" s="11"/>
      <c r="C93" s="11"/>
      <c r="D93" s="11"/>
    </row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8">
    <mergeCell ref="A1:F1"/>
    <mergeCell ref="A2:F2"/>
    <mergeCell ref="A4:F4"/>
    <mergeCell ref="A5:F5"/>
    <mergeCell ref="A15:C15"/>
    <mergeCell ref="A16:C16"/>
    <mergeCell ref="A25:D25"/>
    <mergeCell ref="A26:D26"/>
    <mergeCell ref="A39:D39"/>
    <mergeCell ref="A40:D40"/>
    <mergeCell ref="A49:C49"/>
    <mergeCell ref="A50:C50"/>
    <mergeCell ref="A61:D61"/>
    <mergeCell ref="A62:D62"/>
    <mergeCell ref="A74:D74"/>
    <mergeCell ref="A75:D75"/>
    <mergeCell ref="A85:D85"/>
    <mergeCell ref="A86:D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3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34"/>
    <col collapsed="false" customWidth="true" hidden="false" outlineLevel="0" max="12" min="12" style="1" width="22"/>
    <col collapsed="false" customWidth="true" hidden="false" outlineLevel="0" max="13" min="13" style="1" width="12"/>
    <col collapsed="false" customWidth="true" hidden="false" outlineLevel="0" max="14" min="14" style="1" width="16"/>
    <col collapsed="false" customWidth="true" hidden="false" outlineLevel="0" max="26" min="15" style="1" width="8.71"/>
  </cols>
  <sheetData>
    <row r="1" customFormat="false" ht="19.5" hidden="false" customHeight="true" outlineLevel="0" collapsed="false">
      <c r="A1" s="23" t="s">
        <v>8</v>
      </c>
      <c r="B1" s="24" t="s">
        <v>12</v>
      </c>
      <c r="C1" s="24" t="s">
        <v>121</v>
      </c>
      <c r="D1" s="24"/>
      <c r="E1" s="24" t="s">
        <v>24</v>
      </c>
      <c r="F1" s="24" t="s">
        <v>28</v>
      </c>
      <c r="G1" s="24" t="s">
        <v>32</v>
      </c>
      <c r="H1" s="24" t="s">
        <v>36</v>
      </c>
      <c r="I1" s="23" t="s">
        <v>122</v>
      </c>
      <c r="J1" s="24" t="s">
        <v>45</v>
      </c>
      <c r="K1" s="24" t="s">
        <v>49</v>
      </c>
      <c r="L1" s="24" t="s">
        <v>53</v>
      </c>
      <c r="M1" s="24" t="s">
        <v>58</v>
      </c>
      <c r="N1" s="24" t="s">
        <v>62</v>
      </c>
    </row>
    <row r="2" customFormat="false" ht="19.5" hidden="false" customHeight="true" outlineLevel="0" collapsed="false">
      <c r="A2" s="23"/>
      <c r="B2" s="23"/>
      <c r="C2" s="25" t="s">
        <v>16</v>
      </c>
      <c r="D2" s="25" t="s">
        <v>20</v>
      </c>
      <c r="E2" s="26"/>
      <c r="F2" s="26"/>
      <c r="G2" s="26"/>
      <c r="H2" s="26"/>
      <c r="I2" s="26"/>
      <c r="J2" s="26"/>
      <c r="K2" s="26"/>
      <c r="L2" s="26"/>
      <c r="M2" s="26"/>
      <c r="N2" s="26"/>
    </row>
    <row r="3" customFormat="false" ht="45.75" hidden="false" customHeight="true" outlineLevel="0" collapsed="false">
      <c r="A3" s="13" t="s">
        <v>123</v>
      </c>
      <c r="B3" s="27" t="s">
        <v>944</v>
      </c>
      <c r="C3" s="11" t="s">
        <v>125</v>
      </c>
      <c r="D3" s="11" t="s">
        <v>126</v>
      </c>
      <c r="E3" s="11" t="s">
        <v>945</v>
      </c>
      <c r="F3" s="11" t="s">
        <v>946</v>
      </c>
      <c r="G3" s="11" t="s">
        <v>947</v>
      </c>
      <c r="H3" s="11" t="s">
        <v>948</v>
      </c>
      <c r="I3" s="11"/>
      <c r="J3" s="14" t="s">
        <v>47</v>
      </c>
      <c r="K3" s="11"/>
      <c r="L3" s="11"/>
      <c r="M3" s="11" t="s">
        <v>949</v>
      </c>
      <c r="N3" s="11"/>
    </row>
    <row r="4" customFormat="false" ht="45.75" hidden="false" customHeight="true" outlineLevel="0" collapsed="false">
      <c r="A4" s="13" t="s">
        <v>133</v>
      </c>
      <c r="B4" s="27"/>
      <c r="C4" s="11" t="s">
        <v>125</v>
      </c>
      <c r="D4" s="11" t="s">
        <v>134</v>
      </c>
      <c r="E4" s="11" t="s">
        <v>950</v>
      </c>
      <c r="F4" s="11" t="s">
        <v>951</v>
      </c>
      <c r="G4" s="11" t="s">
        <v>952</v>
      </c>
      <c r="H4" s="11" t="s">
        <v>953</v>
      </c>
      <c r="I4" s="11"/>
      <c r="J4" s="14" t="s">
        <v>47</v>
      </c>
      <c r="K4" s="11" t="s">
        <v>954</v>
      </c>
      <c r="L4" s="11"/>
      <c r="M4" s="11" t="s">
        <v>949</v>
      </c>
      <c r="N4" s="11"/>
    </row>
    <row r="5" customFormat="false" ht="45.75" hidden="false" customHeight="true" outlineLevel="0" collapsed="false">
      <c r="A5" s="13" t="s">
        <v>140</v>
      </c>
      <c r="B5" s="27"/>
      <c r="C5" s="11" t="s">
        <v>141</v>
      </c>
      <c r="D5" s="11" t="s">
        <v>955</v>
      </c>
      <c r="E5" s="11" t="s">
        <v>956</v>
      </c>
      <c r="F5" s="11" t="s">
        <v>957</v>
      </c>
      <c r="G5" s="11" t="s">
        <v>958</v>
      </c>
      <c r="H5" s="11" t="s">
        <v>959</v>
      </c>
      <c r="I5" s="11"/>
      <c r="J5" s="14" t="s">
        <v>47</v>
      </c>
      <c r="K5" s="11" t="s">
        <v>960</v>
      </c>
      <c r="L5" s="11"/>
      <c r="M5" s="11" t="s">
        <v>148</v>
      </c>
      <c r="N5" s="11"/>
    </row>
    <row r="6" customFormat="false" ht="45.75" hidden="false" customHeight="true" outlineLevel="0" collapsed="false">
      <c r="A6" s="13" t="s">
        <v>150</v>
      </c>
      <c r="B6" s="27"/>
      <c r="C6" s="11" t="s">
        <v>141</v>
      </c>
      <c r="D6" s="11" t="s">
        <v>961</v>
      </c>
      <c r="E6" s="11" t="s">
        <v>962</v>
      </c>
      <c r="F6" s="11" t="s">
        <v>963</v>
      </c>
      <c r="G6" s="11" t="s">
        <v>964</v>
      </c>
      <c r="H6" s="11" t="s">
        <v>965</v>
      </c>
      <c r="I6" s="14" t="s">
        <v>338</v>
      </c>
      <c r="J6" s="14" t="s">
        <v>102</v>
      </c>
      <c r="K6" s="11" t="s">
        <v>966</v>
      </c>
      <c r="L6" s="11"/>
      <c r="M6" s="11" t="s">
        <v>148</v>
      </c>
      <c r="N6" s="11"/>
    </row>
    <row r="7" customFormat="false" ht="45.75" hidden="false" customHeight="true" outlineLevel="0" collapsed="false">
      <c r="A7" s="13" t="s">
        <v>165</v>
      </c>
      <c r="B7" s="27"/>
      <c r="C7" s="11" t="s">
        <v>190</v>
      </c>
      <c r="D7" s="11" t="s">
        <v>191</v>
      </c>
      <c r="E7" s="11" t="s">
        <v>967</v>
      </c>
      <c r="F7" s="11" t="s">
        <v>193</v>
      </c>
      <c r="G7" s="11"/>
      <c r="H7" s="11" t="s">
        <v>195</v>
      </c>
      <c r="I7" s="11"/>
      <c r="J7" s="14" t="s">
        <v>47</v>
      </c>
      <c r="K7" s="11" t="s">
        <v>194</v>
      </c>
      <c r="L7" s="11" t="s">
        <v>968</v>
      </c>
      <c r="M7" s="11" t="s">
        <v>949</v>
      </c>
      <c r="N7" s="13" t="s">
        <v>198</v>
      </c>
    </row>
    <row r="8" customFormat="false" ht="45.75" hidden="false" customHeight="true" outlineLevel="0" collapsed="false">
      <c r="A8" s="13" t="s">
        <v>199</v>
      </c>
      <c r="B8" s="36" t="s">
        <v>200</v>
      </c>
      <c r="C8" s="11" t="s">
        <v>201</v>
      </c>
      <c r="D8" s="11" t="s">
        <v>202</v>
      </c>
      <c r="E8" s="11" t="s">
        <v>969</v>
      </c>
      <c r="F8" s="11" t="s">
        <v>204</v>
      </c>
      <c r="G8" s="11" t="s">
        <v>970</v>
      </c>
      <c r="H8" s="11" t="s">
        <v>206</v>
      </c>
      <c r="I8" s="11"/>
      <c r="J8" s="14" t="s">
        <v>47</v>
      </c>
      <c r="K8" s="13" t="s">
        <v>971</v>
      </c>
      <c r="L8" s="11"/>
      <c r="M8" s="11" t="s">
        <v>132</v>
      </c>
      <c r="N8" s="11"/>
    </row>
    <row r="9" customFormat="false" ht="45.75" hidden="false" customHeight="true" outlineLevel="0" collapsed="false">
      <c r="A9" s="13" t="s">
        <v>209</v>
      </c>
      <c r="B9" s="36"/>
      <c r="C9" s="11" t="s">
        <v>201</v>
      </c>
      <c r="D9" s="11" t="s">
        <v>972</v>
      </c>
      <c r="E9" s="11" t="s">
        <v>973</v>
      </c>
      <c r="F9" s="11" t="s">
        <v>974</v>
      </c>
      <c r="G9" s="13" t="s">
        <v>975</v>
      </c>
      <c r="H9" s="11" t="s">
        <v>976</v>
      </c>
      <c r="I9" s="11"/>
      <c r="J9" s="14" t="s">
        <v>104</v>
      </c>
      <c r="K9" s="11" t="s">
        <v>977</v>
      </c>
      <c r="L9" s="11" t="s">
        <v>978</v>
      </c>
      <c r="M9" s="11" t="s">
        <v>132</v>
      </c>
      <c r="N9" s="11" t="s">
        <v>979</v>
      </c>
    </row>
    <row r="10" customFormat="false" ht="45.75" hidden="false" customHeight="true" outlineLevel="0" collapsed="false">
      <c r="A10" s="13" t="s">
        <v>217</v>
      </c>
      <c r="B10" s="36"/>
      <c r="C10" s="11" t="s">
        <v>218</v>
      </c>
      <c r="D10" s="11" t="s">
        <v>219</v>
      </c>
      <c r="E10" s="11" t="s">
        <v>980</v>
      </c>
      <c r="F10" s="11" t="s">
        <v>221</v>
      </c>
      <c r="G10" s="11" t="s">
        <v>981</v>
      </c>
      <c r="H10" s="11" t="s">
        <v>223</v>
      </c>
      <c r="I10" s="11"/>
      <c r="J10" s="14" t="s">
        <v>102</v>
      </c>
      <c r="K10" s="11" t="s">
        <v>982</v>
      </c>
      <c r="L10" s="11"/>
      <c r="M10" s="11" t="s">
        <v>132</v>
      </c>
      <c r="N10" s="11"/>
    </row>
    <row r="11" customFormat="false" ht="45.75" hidden="false" customHeight="true" outlineLevel="0" collapsed="false">
      <c r="A11" s="13" t="s">
        <v>225</v>
      </c>
      <c r="B11" s="37" t="s">
        <v>226</v>
      </c>
      <c r="C11" s="11" t="s">
        <v>227</v>
      </c>
      <c r="D11" s="11" t="s">
        <v>228</v>
      </c>
      <c r="E11" s="11" t="s">
        <v>983</v>
      </c>
      <c r="F11" s="11" t="s">
        <v>230</v>
      </c>
      <c r="G11" s="11" t="s">
        <v>984</v>
      </c>
      <c r="H11" s="11" t="s">
        <v>232</v>
      </c>
      <c r="I11" s="11"/>
      <c r="J11" s="14" t="s">
        <v>47</v>
      </c>
      <c r="K11" s="11" t="s">
        <v>985</v>
      </c>
      <c r="L11" s="11"/>
      <c r="M11" s="11" t="s">
        <v>132</v>
      </c>
      <c r="N11" s="13" t="s">
        <v>235</v>
      </c>
    </row>
    <row r="12" customFormat="false" ht="45.75" hidden="false" customHeight="true" outlineLevel="0" collapsed="false">
      <c r="A12" s="13" t="s">
        <v>236</v>
      </c>
      <c r="B12" s="37"/>
      <c r="C12" s="11" t="s">
        <v>227</v>
      </c>
      <c r="D12" s="11" t="s">
        <v>237</v>
      </c>
      <c r="E12" s="11" t="s">
        <v>986</v>
      </c>
      <c r="F12" s="11" t="s">
        <v>239</v>
      </c>
      <c r="G12" s="11" t="s">
        <v>987</v>
      </c>
      <c r="H12" s="11" t="s">
        <v>241</v>
      </c>
      <c r="I12" s="11"/>
      <c r="J12" s="14" t="s">
        <v>47</v>
      </c>
      <c r="K12" s="11" t="s">
        <v>242</v>
      </c>
      <c r="L12" s="11" t="s">
        <v>988</v>
      </c>
      <c r="M12" s="11" t="s">
        <v>132</v>
      </c>
      <c r="N12" s="13" t="s">
        <v>198</v>
      </c>
    </row>
    <row r="13" customFormat="false" ht="45.75" hidden="false" customHeight="true" outlineLevel="0" collapsed="false">
      <c r="A13" s="13" t="s">
        <v>243</v>
      </c>
      <c r="B13" s="37"/>
      <c r="C13" s="11" t="s">
        <v>227</v>
      </c>
      <c r="D13" s="13" t="s">
        <v>989</v>
      </c>
      <c r="E13" s="13" t="s">
        <v>990</v>
      </c>
      <c r="F13" s="11" t="s">
        <v>991</v>
      </c>
      <c r="G13" s="13" t="s">
        <v>992</v>
      </c>
      <c r="H13" s="11" t="s">
        <v>993</v>
      </c>
      <c r="I13" s="11"/>
      <c r="J13" s="14" t="s">
        <v>47</v>
      </c>
      <c r="K13" s="11" t="s">
        <v>994</v>
      </c>
      <c r="L13" s="11"/>
      <c r="M13" s="11" t="s">
        <v>132</v>
      </c>
      <c r="N13" s="13" t="s">
        <v>249</v>
      </c>
    </row>
    <row r="14" customFormat="false" ht="45.75" hidden="false" customHeight="true" outlineLevel="0" collapsed="false">
      <c r="A14" s="13" t="s">
        <v>995</v>
      </c>
      <c r="B14" s="38" t="s">
        <v>996</v>
      </c>
      <c r="C14" s="11" t="s">
        <v>997</v>
      </c>
      <c r="D14" s="13" t="s">
        <v>998</v>
      </c>
      <c r="E14" s="11" t="s">
        <v>999</v>
      </c>
      <c r="F14" s="11" t="s">
        <v>1000</v>
      </c>
      <c r="G14" s="11" t="s">
        <v>1001</v>
      </c>
      <c r="H14" s="11" t="s">
        <v>1002</v>
      </c>
      <c r="I14" s="14" t="s">
        <v>42</v>
      </c>
      <c r="J14" s="14" t="s">
        <v>47</v>
      </c>
      <c r="K14" s="13" t="s">
        <v>1003</v>
      </c>
      <c r="L14" s="11"/>
      <c r="M14" s="11" t="s">
        <v>148</v>
      </c>
      <c r="N14" s="11"/>
    </row>
    <row r="15" customFormat="false" ht="45.75" hidden="false" customHeight="true" outlineLevel="0" collapsed="false">
      <c r="A15" s="13" t="s">
        <v>1004</v>
      </c>
      <c r="B15" s="38"/>
      <c r="C15" s="11" t="s">
        <v>997</v>
      </c>
      <c r="D15" s="11" t="s">
        <v>1005</v>
      </c>
      <c r="E15" s="11" t="s">
        <v>1006</v>
      </c>
      <c r="F15" s="11" t="s">
        <v>1007</v>
      </c>
      <c r="G15" s="13" t="s">
        <v>1008</v>
      </c>
      <c r="H15" s="11" t="s">
        <v>1009</v>
      </c>
      <c r="I15" s="9" t="s">
        <v>529</v>
      </c>
      <c r="J15" s="14" t="s">
        <v>47</v>
      </c>
      <c r="K15" s="11" t="s">
        <v>1010</v>
      </c>
      <c r="L15" s="11" t="s">
        <v>1011</v>
      </c>
      <c r="M15" s="11" t="s">
        <v>148</v>
      </c>
      <c r="N15" s="11" t="s">
        <v>1012</v>
      </c>
    </row>
    <row r="16" customFormat="false" ht="45.75" hidden="false" customHeight="true" outlineLevel="0" collapsed="false">
      <c r="A16" s="13" t="s">
        <v>1013</v>
      </c>
      <c r="B16" s="38"/>
      <c r="C16" s="11" t="s">
        <v>554</v>
      </c>
      <c r="D16" s="11" t="s">
        <v>1014</v>
      </c>
      <c r="E16" s="11" t="s">
        <v>1015</v>
      </c>
      <c r="F16" s="11" t="s">
        <v>1016</v>
      </c>
      <c r="G16" s="11" t="s">
        <v>1017</v>
      </c>
      <c r="H16" s="11" t="s">
        <v>1018</v>
      </c>
      <c r="I16" s="11"/>
      <c r="J16" s="14" t="s">
        <v>47</v>
      </c>
      <c r="K16" s="11" t="s">
        <v>1019</v>
      </c>
      <c r="L16" s="11"/>
      <c r="M16" s="11" t="s">
        <v>148</v>
      </c>
      <c r="N16" s="11"/>
    </row>
    <row r="17" customFormat="false" ht="45.75" hidden="false" customHeight="true" outlineLevel="0" collapsed="false">
      <c r="A17" s="13" t="s">
        <v>1020</v>
      </c>
      <c r="B17" s="38"/>
      <c r="C17" s="11" t="s">
        <v>554</v>
      </c>
      <c r="D17" s="11" t="s">
        <v>1021</v>
      </c>
      <c r="E17" s="11" t="s">
        <v>1022</v>
      </c>
      <c r="F17" s="11" t="s">
        <v>1023</v>
      </c>
      <c r="G17" s="11" t="s">
        <v>1024</v>
      </c>
      <c r="H17" s="11" t="s">
        <v>1025</v>
      </c>
      <c r="I17" s="11"/>
      <c r="J17" s="14" t="s">
        <v>47</v>
      </c>
      <c r="K17" s="11" t="s">
        <v>1026</v>
      </c>
      <c r="L17" s="11" t="s">
        <v>1027</v>
      </c>
      <c r="M17" s="11" t="s">
        <v>368</v>
      </c>
      <c r="N17" s="13" t="s">
        <v>640</v>
      </c>
    </row>
    <row r="18" customFormat="false" ht="45.75" hidden="false" customHeight="true" outlineLevel="0" collapsed="false">
      <c r="A18" s="13" t="s">
        <v>10</v>
      </c>
      <c r="B18" s="39" t="s">
        <v>14</v>
      </c>
      <c r="C18" s="11" t="s">
        <v>18</v>
      </c>
      <c r="D18" s="11" t="s">
        <v>22</v>
      </c>
      <c r="E18" s="11" t="s">
        <v>1028</v>
      </c>
      <c r="F18" s="11" t="s">
        <v>1029</v>
      </c>
      <c r="G18" s="13" t="s">
        <v>1030</v>
      </c>
      <c r="H18" s="11" t="s">
        <v>1031</v>
      </c>
      <c r="I18" s="14" t="s">
        <v>42</v>
      </c>
      <c r="J18" s="14" t="s">
        <v>47</v>
      </c>
      <c r="K18" s="11" t="s">
        <v>1032</v>
      </c>
      <c r="L18" s="11"/>
      <c r="M18" s="11" t="s">
        <v>148</v>
      </c>
      <c r="N18" s="13" t="s">
        <v>1033</v>
      </c>
    </row>
    <row r="19" customFormat="false" ht="45.75" hidden="false" customHeight="true" outlineLevel="0" collapsed="false">
      <c r="A19" s="13" t="s">
        <v>1034</v>
      </c>
      <c r="B19" s="39"/>
      <c r="C19" s="11" t="s">
        <v>18</v>
      </c>
      <c r="D19" s="11" t="s">
        <v>1035</v>
      </c>
      <c r="E19" s="11" t="s">
        <v>1036</v>
      </c>
      <c r="F19" s="11" t="s">
        <v>1037</v>
      </c>
      <c r="G19" s="11" t="s">
        <v>1038</v>
      </c>
      <c r="H19" s="11" t="s">
        <v>1039</v>
      </c>
      <c r="I19" s="14" t="s">
        <v>42</v>
      </c>
      <c r="J19" s="14" t="s">
        <v>47</v>
      </c>
      <c r="K19" s="11" t="s">
        <v>1040</v>
      </c>
      <c r="L19" s="11" t="s">
        <v>1041</v>
      </c>
      <c r="M19" s="11" t="s">
        <v>148</v>
      </c>
      <c r="N19" s="11"/>
    </row>
    <row r="20" customFormat="false" ht="45.75" hidden="false" customHeight="true" outlineLevel="0" collapsed="false">
      <c r="A20" s="13" t="s">
        <v>1042</v>
      </c>
      <c r="B20" s="39"/>
      <c r="C20" s="11" t="s">
        <v>18</v>
      </c>
      <c r="D20" s="13" t="s">
        <v>1043</v>
      </c>
      <c r="E20" s="13" t="s">
        <v>1044</v>
      </c>
      <c r="F20" s="11" t="s">
        <v>1045</v>
      </c>
      <c r="G20" s="13" t="s">
        <v>1046</v>
      </c>
      <c r="H20" s="13" t="s">
        <v>528</v>
      </c>
      <c r="I20" s="11"/>
      <c r="J20" s="14" t="s">
        <v>47</v>
      </c>
      <c r="K20" s="11" t="s">
        <v>1047</v>
      </c>
      <c r="L20" s="11"/>
      <c r="M20" s="11" t="s">
        <v>148</v>
      </c>
      <c r="N20" s="13" t="s">
        <v>594</v>
      </c>
    </row>
    <row r="21" customFormat="false" ht="45.75" hidden="false" customHeight="true" outlineLevel="0" collapsed="false">
      <c r="A21" s="13" t="s">
        <v>1048</v>
      </c>
      <c r="B21" s="39"/>
      <c r="C21" s="11" t="s">
        <v>18</v>
      </c>
      <c r="D21" s="11" t="s">
        <v>1049</v>
      </c>
      <c r="E21" s="11" t="s">
        <v>1050</v>
      </c>
      <c r="F21" s="13" t="s">
        <v>1051</v>
      </c>
      <c r="G21" s="11" t="s">
        <v>1052</v>
      </c>
      <c r="H21" s="11" t="s">
        <v>1053</v>
      </c>
      <c r="I21" s="14" t="s">
        <v>376</v>
      </c>
      <c r="J21" s="14" t="s">
        <v>47</v>
      </c>
      <c r="K21" s="13" t="s">
        <v>1054</v>
      </c>
      <c r="L21" s="11"/>
      <c r="M21" s="11" t="s">
        <v>148</v>
      </c>
      <c r="N21" s="13" t="s">
        <v>1055</v>
      </c>
    </row>
    <row r="22" customFormat="false" ht="45.75" hidden="false" customHeight="true" outlineLevel="0" collapsed="false">
      <c r="A22" s="13" t="s">
        <v>1056</v>
      </c>
      <c r="B22" s="39"/>
      <c r="C22" s="11" t="s">
        <v>1057</v>
      </c>
      <c r="D22" s="11" t="s">
        <v>1058</v>
      </c>
      <c r="E22" s="11" t="s">
        <v>1059</v>
      </c>
      <c r="F22" s="11" t="s">
        <v>1060</v>
      </c>
      <c r="G22" s="11" t="s">
        <v>1061</v>
      </c>
      <c r="H22" s="11" t="s">
        <v>1062</v>
      </c>
      <c r="I22" s="11"/>
      <c r="J22" s="14" t="s">
        <v>102</v>
      </c>
      <c r="K22" s="11" t="s">
        <v>1063</v>
      </c>
      <c r="L22" s="11"/>
      <c r="M22" s="11" t="s">
        <v>368</v>
      </c>
      <c r="N22" s="11"/>
    </row>
    <row r="23" customFormat="false" ht="45.75" hidden="false" customHeight="true" outlineLevel="0" collapsed="false">
      <c r="A23" s="13" t="s">
        <v>1064</v>
      </c>
      <c r="B23" s="39"/>
      <c r="C23" s="11" t="s">
        <v>611</v>
      </c>
      <c r="D23" s="11" t="s">
        <v>1065</v>
      </c>
      <c r="E23" s="11" t="s">
        <v>1066</v>
      </c>
      <c r="F23" s="11" t="s">
        <v>1067</v>
      </c>
      <c r="G23" s="11" t="s">
        <v>1068</v>
      </c>
      <c r="H23" s="11" t="s">
        <v>1069</v>
      </c>
      <c r="I23" s="11"/>
      <c r="J23" s="14" t="s">
        <v>47</v>
      </c>
      <c r="K23" s="11" t="s">
        <v>1070</v>
      </c>
      <c r="L23" s="11" t="s">
        <v>1071</v>
      </c>
      <c r="M23" s="11" t="s">
        <v>148</v>
      </c>
      <c r="N23" s="11" t="s">
        <v>1072</v>
      </c>
    </row>
    <row r="24" customFormat="false" ht="45.75" hidden="false" customHeight="true" outlineLevel="0" collapsed="false">
      <c r="A24" s="13" t="s">
        <v>1073</v>
      </c>
      <c r="B24" s="15" t="s">
        <v>1074</v>
      </c>
      <c r="C24" s="11" t="s">
        <v>1075</v>
      </c>
      <c r="D24" s="11" t="s">
        <v>1076</v>
      </c>
      <c r="E24" s="11" t="s">
        <v>1077</v>
      </c>
      <c r="F24" s="11" t="s">
        <v>1078</v>
      </c>
      <c r="G24" s="13" t="s">
        <v>1079</v>
      </c>
      <c r="H24" s="11" t="s">
        <v>1080</v>
      </c>
      <c r="I24" s="14" t="s">
        <v>376</v>
      </c>
      <c r="J24" s="14" t="s">
        <v>47</v>
      </c>
      <c r="K24" s="13" t="s">
        <v>1081</v>
      </c>
      <c r="L24" s="11"/>
      <c r="M24" s="11" t="s">
        <v>148</v>
      </c>
      <c r="N24" s="11"/>
    </row>
    <row r="25" customFormat="false" ht="45.75" hidden="false" customHeight="true" outlineLevel="0" collapsed="false">
      <c r="A25" s="13" t="s">
        <v>1082</v>
      </c>
      <c r="B25" s="15"/>
      <c r="C25" s="11" t="s">
        <v>1075</v>
      </c>
      <c r="D25" s="11" t="s">
        <v>1083</v>
      </c>
      <c r="E25" s="11" t="s">
        <v>1084</v>
      </c>
      <c r="F25" s="11" t="s">
        <v>1085</v>
      </c>
      <c r="G25" s="11" t="s">
        <v>1086</v>
      </c>
      <c r="H25" s="11" t="s">
        <v>1087</v>
      </c>
      <c r="I25" s="11"/>
      <c r="J25" s="14" t="s">
        <v>47</v>
      </c>
      <c r="K25" s="11" t="s">
        <v>1088</v>
      </c>
      <c r="L25" s="11"/>
      <c r="M25" s="11" t="s">
        <v>148</v>
      </c>
      <c r="N25" s="11"/>
    </row>
    <row r="26" customFormat="false" ht="45.75" hidden="false" customHeight="true" outlineLevel="0" collapsed="false">
      <c r="A26" s="13" t="s">
        <v>622</v>
      </c>
      <c r="B26" s="15"/>
      <c r="C26" s="11" t="s">
        <v>1075</v>
      </c>
      <c r="D26" s="11" t="s">
        <v>1089</v>
      </c>
      <c r="E26" s="11" t="s">
        <v>1090</v>
      </c>
      <c r="F26" s="11" t="s">
        <v>1091</v>
      </c>
      <c r="G26" s="11" t="s">
        <v>1092</v>
      </c>
      <c r="H26" s="11" t="s">
        <v>1093</v>
      </c>
      <c r="I26" s="14" t="s">
        <v>338</v>
      </c>
      <c r="J26" s="14" t="s">
        <v>47</v>
      </c>
      <c r="K26" s="11" t="s">
        <v>1094</v>
      </c>
      <c r="L26" s="11"/>
      <c r="M26" s="11" t="s">
        <v>148</v>
      </c>
      <c r="N26" s="13" t="s">
        <v>1095</v>
      </c>
    </row>
    <row r="27" customFormat="false" ht="45.75" hidden="false" customHeight="true" outlineLevel="0" collapsed="false">
      <c r="A27" s="13" t="s">
        <v>1096</v>
      </c>
      <c r="B27" s="15"/>
      <c r="C27" s="11" t="s">
        <v>1075</v>
      </c>
      <c r="D27" s="11" t="s">
        <v>1097</v>
      </c>
      <c r="E27" s="11" t="s">
        <v>1098</v>
      </c>
      <c r="F27" s="13" t="s">
        <v>528</v>
      </c>
      <c r="G27" s="13" t="s">
        <v>528</v>
      </c>
      <c r="H27" s="13" t="s">
        <v>528</v>
      </c>
      <c r="I27" s="14" t="s">
        <v>376</v>
      </c>
      <c r="J27" s="14" t="s">
        <v>106</v>
      </c>
      <c r="K27" s="13" t="s">
        <v>1099</v>
      </c>
      <c r="L27" s="11" t="s">
        <v>531</v>
      </c>
      <c r="M27" s="11" t="s">
        <v>148</v>
      </c>
      <c r="N27" s="13" t="s">
        <v>1100</v>
      </c>
    </row>
    <row r="28" customFormat="false" ht="45.75" hidden="false" customHeight="true" outlineLevel="0" collapsed="false">
      <c r="A28" s="13" t="s">
        <v>632</v>
      </c>
      <c r="B28" s="40" t="s">
        <v>623</v>
      </c>
      <c r="C28" s="11" t="s">
        <v>624</v>
      </c>
      <c r="D28" s="11" t="s">
        <v>625</v>
      </c>
      <c r="E28" s="11" t="s">
        <v>1101</v>
      </c>
      <c r="F28" s="11" t="s">
        <v>1102</v>
      </c>
      <c r="G28" s="11" t="s">
        <v>1103</v>
      </c>
      <c r="H28" s="11" t="s">
        <v>1104</v>
      </c>
      <c r="I28" s="14" t="s">
        <v>338</v>
      </c>
      <c r="J28" s="14" t="s">
        <v>47</v>
      </c>
      <c r="K28" s="11" t="s">
        <v>630</v>
      </c>
      <c r="L28" s="11"/>
      <c r="M28" s="11" t="s">
        <v>368</v>
      </c>
      <c r="N28" s="11"/>
    </row>
    <row r="29" customFormat="false" ht="45.75" hidden="false" customHeight="true" outlineLevel="0" collapsed="false">
      <c r="A29" s="13" t="s">
        <v>1105</v>
      </c>
      <c r="B29" s="40"/>
      <c r="C29" s="11" t="s">
        <v>624</v>
      </c>
      <c r="D29" s="11" t="s">
        <v>633</v>
      </c>
      <c r="E29" s="11" t="s">
        <v>1106</v>
      </c>
      <c r="F29" s="11" t="s">
        <v>1107</v>
      </c>
      <c r="G29" s="11" t="s">
        <v>636</v>
      </c>
      <c r="H29" s="11" t="s">
        <v>637</v>
      </c>
      <c r="I29" s="14" t="s">
        <v>338</v>
      </c>
      <c r="J29" s="14" t="s">
        <v>47</v>
      </c>
      <c r="K29" s="11" t="s">
        <v>1108</v>
      </c>
      <c r="L29" s="11" t="s">
        <v>639</v>
      </c>
      <c r="M29" s="11" t="s">
        <v>368</v>
      </c>
      <c r="N29" s="13" t="s">
        <v>640</v>
      </c>
    </row>
    <row r="30" customFormat="false" ht="45.75" hidden="false" customHeight="true" outlineLevel="0" collapsed="false">
      <c r="A30" s="13" t="s">
        <v>1109</v>
      </c>
      <c r="B30" s="40"/>
      <c r="C30" s="11" t="s">
        <v>494</v>
      </c>
      <c r="D30" s="11" t="s">
        <v>1110</v>
      </c>
      <c r="E30" s="11" t="s">
        <v>1111</v>
      </c>
      <c r="F30" s="11" t="s">
        <v>1112</v>
      </c>
      <c r="G30" s="11" t="s">
        <v>1113</v>
      </c>
      <c r="H30" s="11" t="s">
        <v>1114</v>
      </c>
      <c r="I30" s="9" t="s">
        <v>433</v>
      </c>
      <c r="J30" s="14" t="s">
        <v>102</v>
      </c>
      <c r="K30" s="11" t="s">
        <v>1115</v>
      </c>
      <c r="L30" s="11"/>
      <c r="M30" s="11" t="s">
        <v>368</v>
      </c>
      <c r="N30" s="11"/>
    </row>
    <row r="31" customFormat="false" ht="45.75" hidden="false" customHeight="true" outlineLevel="0" collapsed="false">
      <c r="A31" s="13" t="s">
        <v>1116</v>
      </c>
      <c r="B31" s="40"/>
      <c r="C31" s="11" t="s">
        <v>494</v>
      </c>
      <c r="D31" s="11" t="s">
        <v>1117</v>
      </c>
      <c r="E31" s="11" t="s">
        <v>1118</v>
      </c>
      <c r="F31" s="11" t="s">
        <v>1119</v>
      </c>
      <c r="G31" s="11" t="s">
        <v>1120</v>
      </c>
      <c r="H31" s="11" t="s">
        <v>1121</v>
      </c>
      <c r="I31" s="9" t="s">
        <v>433</v>
      </c>
      <c r="J31" s="14" t="s">
        <v>102</v>
      </c>
      <c r="K31" s="11" t="s">
        <v>1122</v>
      </c>
      <c r="L31" s="11" t="s">
        <v>1123</v>
      </c>
      <c r="M31" s="11" t="s">
        <v>148</v>
      </c>
      <c r="N31" s="11" t="s">
        <v>1124</v>
      </c>
    </row>
    <row r="32" customFormat="false" ht="45.75" hidden="false" customHeight="true" outlineLevel="0" collapsed="false">
      <c r="A32" s="13" t="s">
        <v>641</v>
      </c>
      <c r="B32" s="40"/>
      <c r="C32" s="11" t="s">
        <v>672</v>
      </c>
      <c r="D32" s="11" t="s">
        <v>673</v>
      </c>
      <c r="E32" s="11" t="s">
        <v>1125</v>
      </c>
      <c r="F32" s="11" t="s">
        <v>1126</v>
      </c>
      <c r="G32" s="11" t="s">
        <v>1127</v>
      </c>
      <c r="H32" s="11" t="s">
        <v>1128</v>
      </c>
      <c r="I32" s="11"/>
      <c r="J32" s="14" t="s">
        <v>47</v>
      </c>
      <c r="K32" s="11" t="s">
        <v>1129</v>
      </c>
      <c r="L32" s="11"/>
      <c r="M32" s="11" t="s">
        <v>368</v>
      </c>
      <c r="N32" s="13" t="s">
        <v>640</v>
      </c>
    </row>
    <row r="33" customFormat="false" ht="45.75" hidden="false" customHeight="true" outlineLevel="0" collapsed="false">
      <c r="A33" s="13" t="s">
        <v>1130</v>
      </c>
      <c r="B33" s="41" t="s">
        <v>1131</v>
      </c>
      <c r="C33" s="11" t="s">
        <v>1132</v>
      </c>
      <c r="D33" s="11" t="s">
        <v>1133</v>
      </c>
      <c r="E33" s="13" t="s">
        <v>1134</v>
      </c>
      <c r="F33" s="11" t="s">
        <v>1135</v>
      </c>
      <c r="G33" s="11" t="s">
        <v>1136</v>
      </c>
      <c r="H33" s="11" t="s">
        <v>1137</v>
      </c>
      <c r="I33" s="11"/>
      <c r="J33" s="14" t="s">
        <v>104</v>
      </c>
      <c r="K33" s="11" t="s">
        <v>1138</v>
      </c>
      <c r="L33" s="11"/>
      <c r="M33" s="11" t="s">
        <v>543</v>
      </c>
      <c r="N33" s="13" t="s">
        <v>1139</v>
      </c>
    </row>
    <row r="34" customFormat="false" ht="45.75" hidden="false" customHeight="true" outlineLevel="0" collapsed="false">
      <c r="A34" s="13" t="s">
        <v>1140</v>
      </c>
      <c r="B34" s="41"/>
      <c r="C34" s="11" t="s">
        <v>611</v>
      </c>
      <c r="D34" s="11" t="s">
        <v>1141</v>
      </c>
      <c r="E34" s="11" t="s">
        <v>1142</v>
      </c>
      <c r="F34" s="11" t="s">
        <v>1143</v>
      </c>
      <c r="G34" s="11" t="s">
        <v>1144</v>
      </c>
      <c r="H34" s="11" t="s">
        <v>1145</v>
      </c>
      <c r="I34" s="11"/>
      <c r="J34" s="14" t="s">
        <v>47</v>
      </c>
      <c r="K34" s="11" t="s">
        <v>1146</v>
      </c>
      <c r="L34" s="13" t="s">
        <v>1147</v>
      </c>
      <c r="M34" s="11" t="s">
        <v>543</v>
      </c>
      <c r="N34" s="11" t="s">
        <v>1148</v>
      </c>
    </row>
    <row r="35" customFormat="false" ht="45.75" hidden="false" customHeight="true" outlineLevel="0" collapsed="false">
      <c r="A35" s="13" t="s">
        <v>1149</v>
      </c>
      <c r="B35" s="41"/>
      <c r="C35" s="11" t="s">
        <v>1132</v>
      </c>
      <c r="D35" s="13" t="s">
        <v>1150</v>
      </c>
      <c r="E35" s="13" t="s">
        <v>1151</v>
      </c>
      <c r="F35" s="11" t="s">
        <v>1152</v>
      </c>
      <c r="G35" s="11" t="s">
        <v>1153</v>
      </c>
      <c r="H35" s="11" t="s">
        <v>1154</v>
      </c>
      <c r="I35" s="14" t="s">
        <v>376</v>
      </c>
      <c r="J35" s="14" t="s">
        <v>104</v>
      </c>
      <c r="K35" s="11" t="s">
        <v>1155</v>
      </c>
      <c r="L35" s="11"/>
      <c r="M35" s="11" t="s">
        <v>543</v>
      </c>
      <c r="N35" s="11"/>
    </row>
    <row r="36" customFormat="false" ht="15.75" hidden="false" customHeight="true" outlineLevel="0" collapsed="false"/>
    <row r="37" customFormat="false" ht="15.75" hidden="false" customHeight="true" outlineLevel="0" collapsed="false">
      <c r="A37" s="42" t="s">
        <v>1156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</row>
    <row r="38" customFormat="false" ht="19.5" hidden="false" customHeight="true" outlineLevel="0" collapsed="false">
      <c r="A38" s="10" t="s">
        <v>1157</v>
      </c>
      <c r="B38" s="12" t="n">
        <f aca="false">COUNTA($A$3:$A$35)</f>
        <v>33</v>
      </c>
      <c r="C38" s="16" t="s">
        <v>47</v>
      </c>
      <c r="D38" s="12" t="n">
        <f aca="false">COUNTIF($J$3:$J$35,"Must")</f>
        <v>24</v>
      </c>
      <c r="E38" s="16" t="s">
        <v>102</v>
      </c>
      <c r="F38" s="12" t="n">
        <f aca="false">COUNTIF($J$3:$J$35,"Should")</f>
        <v>5</v>
      </c>
      <c r="G38" s="16" t="s">
        <v>104</v>
      </c>
      <c r="H38" s="12" t="n">
        <f aca="false">COUNTIF($J$3:$J$35,"Could")</f>
        <v>3</v>
      </c>
      <c r="I38" s="16" t="s">
        <v>106</v>
      </c>
      <c r="J38" s="12" t="n">
        <f aca="false">COUNTIF($J$3:$J$35,"Won't")</f>
        <v>1</v>
      </c>
      <c r="K38" s="16" t="s">
        <v>110</v>
      </c>
      <c r="L38" s="12" t="n">
        <f aca="false">COUNTA($I$3:$I$35)</f>
        <v>14</v>
      </c>
    </row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A2:N35"/>
  <mergeCells count="10">
    <mergeCell ref="C1:D1"/>
    <mergeCell ref="B3:B7"/>
    <mergeCell ref="B8:B10"/>
    <mergeCell ref="B11:B13"/>
    <mergeCell ref="B14:B17"/>
    <mergeCell ref="B18:B23"/>
    <mergeCell ref="B24:B27"/>
    <mergeCell ref="B28:B32"/>
    <mergeCell ref="B33:B35"/>
    <mergeCell ref="A37:N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34"/>
    <col collapsed="false" customWidth="true" hidden="false" outlineLevel="0" max="4" min="4" style="1" width="32"/>
    <col collapsed="false" customWidth="true" hidden="false" outlineLevel="0" max="5" min="5" style="1" width="34"/>
    <col collapsed="false" customWidth="true" hidden="false" outlineLevel="0" max="6" min="6" style="1" width="16"/>
    <col collapsed="false" customWidth="true" hidden="false" outlineLevel="0" max="26" min="7" style="1" width="8.71"/>
  </cols>
  <sheetData>
    <row r="1" customFormat="false" ht="30" hidden="false" customHeight="true" outlineLevel="0" collapsed="false">
      <c r="A1" s="28" t="s">
        <v>1158</v>
      </c>
      <c r="B1" s="28"/>
      <c r="C1" s="28"/>
      <c r="D1" s="28"/>
      <c r="E1" s="28"/>
      <c r="F1" s="28"/>
    </row>
    <row r="2" customFormat="false" ht="15" hidden="false" customHeight="true" outlineLevel="0" collapsed="false">
      <c r="A2" s="3" t="s">
        <v>1159</v>
      </c>
      <c r="B2" s="3"/>
      <c r="C2" s="3"/>
      <c r="D2" s="3"/>
      <c r="E2" s="3"/>
      <c r="F2" s="3"/>
    </row>
    <row r="4" customFormat="false" ht="24" hidden="false" customHeight="true" outlineLevel="0" collapsed="false">
      <c r="A4" s="29" t="s">
        <v>697</v>
      </c>
      <c r="B4" s="29"/>
      <c r="C4" s="29"/>
      <c r="D4" s="29"/>
      <c r="E4" s="29"/>
      <c r="F4" s="29"/>
    </row>
    <row r="5" customFormat="false" ht="30" hidden="false" customHeight="true" outlineLevel="0" collapsed="false">
      <c r="A5" s="32" t="s">
        <v>1160</v>
      </c>
      <c r="B5" s="32"/>
      <c r="C5" s="32"/>
      <c r="D5" s="32"/>
      <c r="E5" s="32"/>
      <c r="F5" s="32"/>
    </row>
    <row r="6" customFormat="false" ht="15" hidden="false" customHeight="true" outlineLevel="0" collapsed="false">
      <c r="A6" s="5" t="s">
        <v>699</v>
      </c>
      <c r="B6" s="5" t="s">
        <v>700</v>
      </c>
      <c r="C6" s="5" t="s">
        <v>701</v>
      </c>
      <c r="D6" s="5" t="s">
        <v>702</v>
      </c>
      <c r="E6" s="5" t="s">
        <v>703</v>
      </c>
      <c r="F6" s="5" t="s">
        <v>704</v>
      </c>
    </row>
    <row r="7" customFormat="false" ht="33.75" hidden="false" customHeight="true" outlineLevel="0" collapsed="false">
      <c r="A7" s="13" t="s">
        <v>1161</v>
      </c>
      <c r="B7" s="11" t="s">
        <v>1162</v>
      </c>
      <c r="C7" s="13" t="s">
        <v>1163</v>
      </c>
      <c r="D7" s="11" t="s">
        <v>1164</v>
      </c>
      <c r="E7" s="11" t="s">
        <v>1165</v>
      </c>
      <c r="F7" s="13" t="s">
        <v>10</v>
      </c>
    </row>
    <row r="8" customFormat="false" ht="33.75" hidden="false" customHeight="true" outlineLevel="0" collapsed="false">
      <c r="A8" s="13" t="s">
        <v>1166</v>
      </c>
      <c r="B8" s="11" t="s">
        <v>1167</v>
      </c>
      <c r="C8" s="13" t="s">
        <v>1168</v>
      </c>
      <c r="D8" s="11" t="s">
        <v>1169</v>
      </c>
      <c r="E8" s="11" t="s">
        <v>1170</v>
      </c>
      <c r="F8" s="13" t="s">
        <v>1073</v>
      </c>
    </row>
    <row r="9" customFormat="false" ht="33.75" hidden="false" customHeight="true" outlineLevel="0" collapsed="false">
      <c r="A9" s="13" t="s">
        <v>1171</v>
      </c>
      <c r="B9" s="11" t="s">
        <v>1172</v>
      </c>
      <c r="C9" s="13" t="s">
        <v>1173</v>
      </c>
      <c r="D9" s="11" t="s">
        <v>1174</v>
      </c>
      <c r="E9" s="11" t="s">
        <v>1175</v>
      </c>
      <c r="F9" s="13" t="s">
        <v>622</v>
      </c>
    </row>
    <row r="10" customFormat="false" ht="33.75" hidden="false" customHeight="true" outlineLevel="0" collapsed="false">
      <c r="A10" s="13" t="s">
        <v>1176</v>
      </c>
      <c r="B10" s="11" t="s">
        <v>1177</v>
      </c>
      <c r="C10" s="13" t="s">
        <v>1178</v>
      </c>
      <c r="D10" s="11" t="s">
        <v>1179</v>
      </c>
      <c r="E10" s="11" t="s">
        <v>1180</v>
      </c>
      <c r="F10" s="13" t="s">
        <v>1109</v>
      </c>
    </row>
    <row r="13" customFormat="false" ht="24" hidden="false" customHeight="true" outlineLevel="0" collapsed="false">
      <c r="A13" s="29" t="s">
        <v>735</v>
      </c>
      <c r="B13" s="29"/>
      <c r="C13" s="29"/>
    </row>
    <row r="14" customFormat="false" ht="30" hidden="false" customHeight="true" outlineLevel="0" collapsed="false">
      <c r="A14" s="32" t="s">
        <v>1181</v>
      </c>
      <c r="B14" s="32"/>
      <c r="C14" s="32"/>
    </row>
    <row r="15" customFormat="false" ht="15" hidden="false" customHeight="true" outlineLevel="0" collapsed="false">
      <c r="A15" s="5" t="s">
        <v>737</v>
      </c>
      <c r="B15" s="5" t="s">
        <v>738</v>
      </c>
      <c r="C15" s="5" t="s">
        <v>739</v>
      </c>
    </row>
    <row r="16" customFormat="false" ht="33.75" hidden="false" customHeight="true" outlineLevel="0" collapsed="false">
      <c r="A16" s="11" t="s">
        <v>740</v>
      </c>
      <c r="B16" s="13" t="s">
        <v>1182</v>
      </c>
      <c r="C16" s="13" t="s">
        <v>1183</v>
      </c>
    </row>
    <row r="17" customFormat="false" ht="33.75" hidden="false" customHeight="true" outlineLevel="0" collapsed="false">
      <c r="A17" s="11" t="s">
        <v>743</v>
      </c>
      <c r="B17" s="11" t="s">
        <v>1184</v>
      </c>
      <c r="C17" s="11" t="s">
        <v>1185</v>
      </c>
    </row>
    <row r="18" customFormat="false" ht="33.75" hidden="false" customHeight="true" outlineLevel="0" collapsed="false">
      <c r="A18" s="11" t="s">
        <v>746</v>
      </c>
      <c r="B18" s="11" t="s">
        <v>1186</v>
      </c>
      <c r="C18" s="11" t="s">
        <v>1187</v>
      </c>
    </row>
    <row r="19" customFormat="false" ht="33.75" hidden="false" customHeight="true" outlineLevel="0" collapsed="false">
      <c r="A19" s="11" t="s">
        <v>749</v>
      </c>
      <c r="B19" s="13" t="s">
        <v>1176</v>
      </c>
      <c r="C19" s="11" t="s">
        <v>1188</v>
      </c>
    </row>
    <row r="20" customFormat="false" ht="33.75" hidden="false" customHeight="true" outlineLevel="0" collapsed="false">
      <c r="A20" s="11" t="s">
        <v>755</v>
      </c>
      <c r="B20" s="11" t="s">
        <v>1189</v>
      </c>
      <c r="C20" s="11" t="s">
        <v>1190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24" hidden="false" customHeight="true" outlineLevel="0" collapsed="false">
      <c r="A23" s="29" t="s">
        <v>758</v>
      </c>
      <c r="B23" s="29"/>
      <c r="C23" s="29"/>
      <c r="D23" s="29"/>
    </row>
    <row r="24" customFormat="false" ht="30" hidden="false" customHeight="true" outlineLevel="0" collapsed="false">
      <c r="A24" s="32" t="s">
        <v>1191</v>
      </c>
      <c r="B24" s="32"/>
      <c r="C24" s="32"/>
      <c r="D24" s="32"/>
    </row>
    <row r="25" customFormat="false" ht="15.75" hidden="false" customHeight="true" outlineLevel="0" collapsed="false">
      <c r="A25" s="5" t="s">
        <v>66</v>
      </c>
      <c r="B25" s="5" t="s">
        <v>738</v>
      </c>
      <c r="C25" s="5" t="s">
        <v>760</v>
      </c>
      <c r="D25" s="5" t="s">
        <v>62</v>
      </c>
    </row>
    <row r="26" customFormat="false" ht="33.75" hidden="false" customHeight="true" outlineLevel="0" collapsed="false">
      <c r="A26" s="11" t="s">
        <v>765</v>
      </c>
      <c r="B26" s="13" t="s">
        <v>1192</v>
      </c>
      <c r="C26" s="13" t="s">
        <v>1193</v>
      </c>
      <c r="D26" s="11"/>
    </row>
    <row r="27" customFormat="false" ht="33.75" hidden="false" customHeight="true" outlineLevel="0" collapsed="false">
      <c r="A27" s="11" t="s">
        <v>768</v>
      </c>
      <c r="B27" s="13" t="s">
        <v>1194</v>
      </c>
      <c r="C27" s="13" t="s">
        <v>1195</v>
      </c>
      <c r="D27" s="11" t="s">
        <v>1196</v>
      </c>
    </row>
    <row r="28" customFormat="false" ht="33.75" hidden="false" customHeight="true" outlineLevel="0" collapsed="false">
      <c r="A28" s="11" t="s">
        <v>772</v>
      </c>
      <c r="B28" s="13" t="s">
        <v>1197</v>
      </c>
      <c r="C28" s="11" t="s">
        <v>1198</v>
      </c>
      <c r="D28" s="11"/>
    </row>
    <row r="29" customFormat="false" ht="33.75" hidden="false" customHeight="true" outlineLevel="0" collapsed="false">
      <c r="A29" s="11" t="s">
        <v>775</v>
      </c>
      <c r="B29" s="13" t="s">
        <v>1199</v>
      </c>
      <c r="C29" s="11" t="s">
        <v>1200</v>
      </c>
      <c r="D29" s="11"/>
    </row>
    <row r="30" customFormat="false" ht="33.75" hidden="false" customHeight="true" outlineLevel="0" collapsed="false">
      <c r="A30" s="11" t="s">
        <v>778</v>
      </c>
      <c r="B30" s="13" t="s">
        <v>779</v>
      </c>
      <c r="C30" s="11" t="s">
        <v>1201</v>
      </c>
      <c r="D30" s="11"/>
    </row>
    <row r="31" customFormat="false" ht="33.75" hidden="false" customHeight="true" outlineLevel="0" collapsed="false">
      <c r="A31" s="11" t="s">
        <v>781</v>
      </c>
      <c r="B31" s="11" t="s">
        <v>1202</v>
      </c>
      <c r="C31" s="11" t="s">
        <v>1203</v>
      </c>
      <c r="D31" s="11"/>
    </row>
    <row r="32" customFormat="false" ht="33.75" hidden="false" customHeight="true" outlineLevel="0" collapsed="false">
      <c r="A32" s="13" t="s">
        <v>784</v>
      </c>
      <c r="B32" s="13" t="s">
        <v>1204</v>
      </c>
      <c r="C32" s="13" t="s">
        <v>1205</v>
      </c>
      <c r="D32" s="13" t="s">
        <v>1206</v>
      </c>
    </row>
    <row r="33" customFormat="false" ht="33.75" hidden="false" customHeight="true" outlineLevel="0" collapsed="false">
      <c r="A33" s="11" t="s">
        <v>787</v>
      </c>
      <c r="B33" s="11" t="s">
        <v>1207</v>
      </c>
      <c r="C33" s="13" t="s">
        <v>1208</v>
      </c>
      <c r="D33" s="11"/>
    </row>
    <row r="34" customFormat="false" ht="33.75" hidden="false" customHeight="true" outlineLevel="0" collapsed="false">
      <c r="A34" s="11" t="s">
        <v>1209</v>
      </c>
      <c r="B34" s="11" t="s">
        <v>1210</v>
      </c>
      <c r="C34" s="13" t="s">
        <v>1211</v>
      </c>
      <c r="D34" s="11"/>
    </row>
    <row r="35" customFormat="false" ht="33.75" hidden="false" customHeight="true" outlineLevel="0" collapsed="false">
      <c r="A35" s="11" t="s">
        <v>1212</v>
      </c>
      <c r="B35" s="11" t="s">
        <v>1213</v>
      </c>
      <c r="C35" s="11" t="s">
        <v>1214</v>
      </c>
      <c r="D35" s="11" t="s">
        <v>1215</v>
      </c>
    </row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24" hidden="false" customHeight="true" outlineLevel="0" collapsed="false">
      <c r="A38" s="35" t="s">
        <v>799</v>
      </c>
      <c r="B38" s="35"/>
      <c r="C38" s="35"/>
      <c r="D38" s="35"/>
    </row>
    <row r="39" customFormat="false" ht="30" hidden="false" customHeight="true" outlineLevel="0" collapsed="false">
      <c r="A39" s="32" t="s">
        <v>1216</v>
      </c>
      <c r="B39" s="32"/>
      <c r="C39" s="32"/>
      <c r="D39" s="32"/>
    </row>
    <row r="40" customFormat="false" ht="15.75" hidden="false" customHeight="true" outlineLevel="0" collapsed="false">
      <c r="A40" s="5" t="s">
        <v>801</v>
      </c>
      <c r="B40" s="5" t="s">
        <v>802</v>
      </c>
      <c r="C40" s="5" t="s">
        <v>803</v>
      </c>
      <c r="D40" s="5" t="s">
        <v>804</v>
      </c>
    </row>
    <row r="41" customFormat="false" ht="33.75" hidden="false" customHeight="true" outlineLevel="0" collapsed="false">
      <c r="A41" s="11" t="s">
        <v>1217</v>
      </c>
      <c r="B41" s="11" t="s">
        <v>1218</v>
      </c>
      <c r="C41" s="11" t="s">
        <v>1219</v>
      </c>
      <c r="D41" s="11" t="s">
        <v>1220</v>
      </c>
    </row>
    <row r="42" customFormat="false" ht="33.75" hidden="false" customHeight="true" outlineLevel="0" collapsed="false">
      <c r="A42" s="11" t="s">
        <v>1076</v>
      </c>
      <c r="B42" s="13" t="s">
        <v>1221</v>
      </c>
      <c r="C42" s="11" t="s">
        <v>1222</v>
      </c>
      <c r="D42" s="13" t="s">
        <v>1223</v>
      </c>
    </row>
    <row r="43" customFormat="false" ht="33.75" hidden="false" customHeight="true" outlineLevel="0" collapsed="false">
      <c r="A43" s="13" t="s">
        <v>1224</v>
      </c>
      <c r="B43" s="11" t="s">
        <v>1225</v>
      </c>
      <c r="C43" s="11" t="s">
        <v>1226</v>
      </c>
      <c r="D43" s="11" t="s">
        <v>818</v>
      </c>
    </row>
    <row r="44" customFormat="false" ht="33.75" hidden="false" customHeight="true" outlineLevel="0" collapsed="false">
      <c r="A44" s="11" t="s">
        <v>1227</v>
      </c>
      <c r="B44" s="11" t="s">
        <v>1228</v>
      </c>
      <c r="C44" s="13" t="s">
        <v>1229</v>
      </c>
      <c r="D44" s="11" t="s">
        <v>818</v>
      </c>
    </row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24" hidden="false" customHeight="true" outlineLevel="0" collapsed="false">
      <c r="A47" s="29" t="s">
        <v>822</v>
      </c>
      <c r="B47" s="29"/>
      <c r="C47" s="29"/>
    </row>
    <row r="48" customFormat="false" ht="30" hidden="false" customHeight="true" outlineLevel="0" collapsed="false">
      <c r="A48" s="30" t="s">
        <v>1230</v>
      </c>
      <c r="B48" s="30"/>
      <c r="C48" s="30"/>
    </row>
    <row r="49" customFormat="false" ht="15.75" hidden="false" customHeight="true" outlineLevel="0" collapsed="false">
      <c r="A49" s="5" t="s">
        <v>737</v>
      </c>
      <c r="B49" s="5" t="s">
        <v>824</v>
      </c>
      <c r="C49" s="5" t="s">
        <v>62</v>
      </c>
    </row>
    <row r="50" customFormat="false" ht="33.75" hidden="false" customHeight="true" outlineLevel="0" collapsed="false">
      <c r="A50" s="11" t="s">
        <v>825</v>
      </c>
      <c r="B50" s="11" t="s">
        <v>1231</v>
      </c>
      <c r="C50" s="11"/>
    </row>
    <row r="51" customFormat="false" ht="33.75" hidden="false" customHeight="true" outlineLevel="0" collapsed="false">
      <c r="A51" s="11" t="s">
        <v>827</v>
      </c>
      <c r="B51" s="11" t="s">
        <v>1232</v>
      </c>
      <c r="C51" s="11"/>
    </row>
    <row r="52" customFormat="false" ht="33.75" hidden="false" customHeight="true" outlineLevel="0" collapsed="false">
      <c r="A52" s="11" t="s">
        <v>829</v>
      </c>
      <c r="B52" s="13" t="s">
        <v>1233</v>
      </c>
      <c r="C52" s="11" t="s">
        <v>1234</v>
      </c>
    </row>
    <row r="53" customFormat="false" ht="33.75" hidden="false" customHeight="true" outlineLevel="0" collapsed="false">
      <c r="A53" s="11" t="s">
        <v>832</v>
      </c>
      <c r="B53" s="11" t="s">
        <v>1235</v>
      </c>
      <c r="C53" s="11" t="s">
        <v>834</v>
      </c>
    </row>
    <row r="54" customFormat="false" ht="33.75" hidden="false" customHeight="true" outlineLevel="0" collapsed="false">
      <c r="A54" s="11" t="s">
        <v>1236</v>
      </c>
      <c r="B54" s="11" t="s">
        <v>839</v>
      </c>
      <c r="C54" s="11" t="s">
        <v>1237</v>
      </c>
    </row>
    <row r="55" customFormat="false" ht="33.75" hidden="false" customHeight="true" outlineLevel="0" collapsed="false">
      <c r="A55" s="11" t="s">
        <v>841</v>
      </c>
      <c r="B55" s="11" t="s">
        <v>842</v>
      </c>
      <c r="C55" s="13" t="s">
        <v>198</v>
      </c>
    </row>
    <row r="56" customFormat="false" ht="33.75" hidden="false" customHeight="true" outlineLevel="0" collapsed="false">
      <c r="A56" s="11" t="s">
        <v>843</v>
      </c>
      <c r="B56" s="11" t="s">
        <v>1238</v>
      </c>
      <c r="C56" s="13" t="s">
        <v>1105</v>
      </c>
    </row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24" hidden="false" customHeight="true" outlineLevel="0" collapsed="false">
      <c r="A59" s="29" t="s">
        <v>845</v>
      </c>
      <c r="B59" s="29"/>
      <c r="C59" s="29"/>
      <c r="D59" s="29"/>
    </row>
    <row r="60" customFormat="false" ht="30" hidden="false" customHeight="true" outlineLevel="0" collapsed="false">
      <c r="A60" s="32" t="s">
        <v>1239</v>
      </c>
      <c r="B60" s="32"/>
      <c r="C60" s="32"/>
      <c r="D60" s="32"/>
    </row>
    <row r="61" customFormat="false" ht="15.75" hidden="false" customHeight="true" outlineLevel="0" collapsed="false">
      <c r="A61" s="5" t="s">
        <v>847</v>
      </c>
      <c r="B61" s="5" t="s">
        <v>848</v>
      </c>
      <c r="C61" s="5" t="s">
        <v>849</v>
      </c>
      <c r="D61" s="5" t="s">
        <v>850</v>
      </c>
    </row>
    <row r="62" customFormat="false" ht="33.75" hidden="false" customHeight="true" outlineLevel="0" collapsed="false">
      <c r="A62" s="13" t="s">
        <v>1240</v>
      </c>
      <c r="B62" s="13" t="s">
        <v>1241</v>
      </c>
      <c r="C62" s="11" t="s">
        <v>1242</v>
      </c>
      <c r="D62" s="11" t="s">
        <v>1243</v>
      </c>
    </row>
    <row r="63" customFormat="false" ht="33.75" hidden="false" customHeight="true" outlineLevel="0" collapsed="false">
      <c r="A63" s="11" t="s">
        <v>871</v>
      </c>
      <c r="B63" s="11" t="s">
        <v>872</v>
      </c>
      <c r="C63" s="11" t="s">
        <v>1244</v>
      </c>
      <c r="D63" s="11" t="s">
        <v>1245</v>
      </c>
    </row>
    <row r="64" customFormat="false" ht="33.75" hidden="false" customHeight="true" outlineLevel="0" collapsed="false">
      <c r="A64" s="13" t="s">
        <v>1246</v>
      </c>
      <c r="B64" s="11" t="s">
        <v>1247</v>
      </c>
      <c r="C64" s="11" t="s">
        <v>1248</v>
      </c>
      <c r="D64" s="11" t="s">
        <v>1249</v>
      </c>
    </row>
    <row r="65" customFormat="false" ht="33.75" hidden="false" customHeight="true" outlineLevel="0" collapsed="false">
      <c r="A65" s="11" t="s">
        <v>859</v>
      </c>
      <c r="B65" s="11" t="s">
        <v>1250</v>
      </c>
      <c r="C65" s="11" t="s">
        <v>1251</v>
      </c>
      <c r="D65" s="11" t="s">
        <v>1252</v>
      </c>
    </row>
    <row r="66" customFormat="false" ht="33.75" hidden="false" customHeight="true" outlineLevel="0" collapsed="false">
      <c r="A66" s="13" t="s">
        <v>1253</v>
      </c>
      <c r="B66" s="11" t="s">
        <v>1254</v>
      </c>
      <c r="C66" s="11" t="s">
        <v>1255</v>
      </c>
      <c r="D66" s="11" t="s">
        <v>1256</v>
      </c>
    </row>
    <row r="67" customFormat="false" ht="33.75" hidden="false" customHeight="true" outlineLevel="0" collapsed="false">
      <c r="A67" s="11" t="s">
        <v>1257</v>
      </c>
      <c r="B67" s="11" t="s">
        <v>1258</v>
      </c>
      <c r="C67" s="11" t="s">
        <v>1259</v>
      </c>
      <c r="D67" s="11" t="s">
        <v>1260</v>
      </c>
    </row>
    <row r="68" customFormat="false" ht="33.75" hidden="false" customHeight="true" outlineLevel="0" collapsed="false">
      <c r="A68" s="11" t="s">
        <v>1261</v>
      </c>
      <c r="B68" s="11" t="s">
        <v>1262</v>
      </c>
      <c r="C68" s="11" t="s">
        <v>1263</v>
      </c>
      <c r="D68" s="11" t="s">
        <v>1264</v>
      </c>
    </row>
    <row r="69" customFormat="false" ht="33.75" hidden="false" customHeight="true" outlineLevel="0" collapsed="false">
      <c r="A69" s="11" t="s">
        <v>1265</v>
      </c>
      <c r="B69" s="11" t="s">
        <v>1266</v>
      </c>
      <c r="C69" s="11" t="s">
        <v>1267</v>
      </c>
      <c r="D69" s="13" t="s">
        <v>1268</v>
      </c>
    </row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24" hidden="false" customHeight="true" outlineLevel="0" collapsed="false">
      <c r="A72" s="29" t="s">
        <v>891</v>
      </c>
      <c r="B72" s="29"/>
      <c r="C72" s="29"/>
      <c r="D72" s="29"/>
    </row>
    <row r="73" customFormat="false" ht="30" hidden="false" customHeight="true" outlineLevel="0" collapsed="false">
      <c r="A73" s="32" t="s">
        <v>1269</v>
      </c>
      <c r="B73" s="32"/>
      <c r="C73" s="32"/>
      <c r="D73" s="32"/>
    </row>
    <row r="74" customFormat="false" ht="15.75" hidden="false" customHeight="true" outlineLevel="0" collapsed="false">
      <c r="A74" s="5" t="s">
        <v>893</v>
      </c>
      <c r="B74" s="5" t="s">
        <v>894</v>
      </c>
      <c r="C74" s="5" t="s">
        <v>895</v>
      </c>
      <c r="D74" s="5" t="s">
        <v>896</v>
      </c>
    </row>
    <row r="75" customFormat="false" ht="33.75" hidden="false" customHeight="true" outlineLevel="0" collapsed="false">
      <c r="A75" s="11" t="s">
        <v>1270</v>
      </c>
      <c r="B75" s="11" t="s">
        <v>1271</v>
      </c>
      <c r="C75" s="13" t="s">
        <v>1272</v>
      </c>
      <c r="D75" s="11" t="s">
        <v>900</v>
      </c>
    </row>
    <row r="76" customFormat="false" ht="33.75" hidden="false" customHeight="true" outlineLevel="0" collapsed="false">
      <c r="A76" s="11" t="s">
        <v>1273</v>
      </c>
      <c r="B76" s="11" t="s">
        <v>1274</v>
      </c>
      <c r="C76" s="13" t="s">
        <v>1275</v>
      </c>
      <c r="D76" s="11" t="s">
        <v>900</v>
      </c>
    </row>
    <row r="77" customFormat="false" ht="33.75" hidden="false" customHeight="true" outlineLevel="0" collapsed="false">
      <c r="A77" s="11" t="s">
        <v>1276</v>
      </c>
      <c r="B77" s="11" t="s">
        <v>1277</v>
      </c>
      <c r="C77" s="13" t="s">
        <v>1278</v>
      </c>
      <c r="D77" s="11" t="s">
        <v>900</v>
      </c>
    </row>
    <row r="78" customFormat="false" ht="33.75" hidden="false" customHeight="true" outlineLevel="0" collapsed="false">
      <c r="A78" s="13" t="s">
        <v>1279</v>
      </c>
      <c r="B78" s="11" t="s">
        <v>1280</v>
      </c>
      <c r="C78" s="13" t="s">
        <v>1281</v>
      </c>
      <c r="D78" s="11" t="s">
        <v>1282</v>
      </c>
    </row>
    <row r="79" customFormat="false" ht="33.75" hidden="false" customHeight="true" outlineLevel="0" collapsed="false">
      <c r="A79" s="11" t="s">
        <v>1283</v>
      </c>
      <c r="B79" s="13" t="s">
        <v>1284</v>
      </c>
      <c r="C79" s="13" t="s">
        <v>1285</v>
      </c>
      <c r="D79" s="11" t="s">
        <v>1286</v>
      </c>
    </row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24" hidden="false" customHeight="true" outlineLevel="0" collapsed="false">
      <c r="A82" s="35" t="s">
        <v>923</v>
      </c>
      <c r="B82" s="35"/>
      <c r="C82" s="35"/>
      <c r="D82" s="35"/>
    </row>
    <row r="83" customFormat="false" ht="30" hidden="false" customHeight="true" outlineLevel="0" collapsed="false">
      <c r="A83" s="30" t="s">
        <v>1287</v>
      </c>
      <c r="B83" s="30"/>
      <c r="C83" s="30"/>
      <c r="D83" s="30"/>
    </row>
    <row r="84" customFormat="false" ht="15.75" hidden="false" customHeight="true" outlineLevel="0" collapsed="false">
      <c r="A84" s="5" t="s">
        <v>925</v>
      </c>
      <c r="B84" s="5" t="s">
        <v>926</v>
      </c>
      <c r="C84" s="5" t="s">
        <v>927</v>
      </c>
      <c r="D84" s="5" t="s">
        <v>928</v>
      </c>
    </row>
    <row r="85" customFormat="false" ht="33.75" hidden="false" customHeight="true" outlineLevel="0" collapsed="false">
      <c r="A85" s="13" t="s">
        <v>1288</v>
      </c>
      <c r="B85" s="13" t="s">
        <v>1289</v>
      </c>
      <c r="C85" s="11" t="s">
        <v>1290</v>
      </c>
      <c r="D85" s="11" t="s">
        <v>1291</v>
      </c>
    </row>
    <row r="86" customFormat="false" ht="33.75" hidden="false" customHeight="true" outlineLevel="0" collapsed="false">
      <c r="A86" s="13" t="s">
        <v>1292</v>
      </c>
      <c r="B86" s="13" t="s">
        <v>1293</v>
      </c>
      <c r="C86" s="11" t="s">
        <v>1294</v>
      </c>
      <c r="D86" s="11" t="s">
        <v>1295</v>
      </c>
    </row>
    <row r="87" customFormat="false" ht="33.75" hidden="false" customHeight="true" outlineLevel="0" collapsed="false">
      <c r="A87" s="13" t="s">
        <v>1296</v>
      </c>
      <c r="B87" s="13" t="s">
        <v>1297</v>
      </c>
      <c r="C87" s="11" t="s">
        <v>1298</v>
      </c>
      <c r="D87" s="13" t="s">
        <v>1299</v>
      </c>
    </row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8">
    <mergeCell ref="A1:F1"/>
    <mergeCell ref="A2:F2"/>
    <mergeCell ref="A4:F4"/>
    <mergeCell ref="A5:F5"/>
    <mergeCell ref="A13:C13"/>
    <mergeCell ref="A14:C14"/>
    <mergeCell ref="A23:D23"/>
    <mergeCell ref="A24:D24"/>
    <mergeCell ref="A38:D38"/>
    <mergeCell ref="A39:D39"/>
    <mergeCell ref="A47:C47"/>
    <mergeCell ref="A48:C48"/>
    <mergeCell ref="A59:D59"/>
    <mergeCell ref="A60:D60"/>
    <mergeCell ref="A72:D72"/>
    <mergeCell ref="A73:D73"/>
    <mergeCell ref="A82:D82"/>
    <mergeCell ref="A83:D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2026-09-10T04:08:49Z</dcterms:created>
  <dc:creator>openpyxl</dc:creator>
  <dc:description/>
  <dc:language>en-US</dc:language>
  <cp:lastModifiedBy/>
  <dcterms:modified xsi:type="dcterms:W3CDTF">2026-09-10T05:38:25Z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