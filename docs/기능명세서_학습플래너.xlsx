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작성가이드" sheetId="1" state="visible" r:id="rId1"/>
    <sheet xmlns:r="http://schemas.openxmlformats.org/officeDocument/2006/relationships" name="기능명세서" sheetId="2" state="visible" r:id="rId2"/>
    <sheet xmlns:r="http://schemas.openxmlformats.org/officeDocument/2006/relationships" name="비기능명세" sheetId="3" state="visible" r:id="rId3"/>
    <sheet xmlns:r="http://schemas.openxmlformats.org/officeDocument/2006/relationships" name="AI기능명세" sheetId="4" state="visible" r:id="rId4"/>
    <sheet xmlns:r="http://schemas.openxmlformats.org/officeDocument/2006/relationships" name="예시_기능명세서" sheetId="5" state="visible" r:id="rId5"/>
    <sheet xmlns:r="http://schemas.openxmlformats.org/officeDocument/2006/relationships" name="예시_AI기능명세" sheetId="6" state="visible" r:id="rId6"/>
  </sheets>
  <definedNames>
    <definedName name="_xlnm._FilterDatabase" localSheetId="1" hidden="1">'기능명세서'!$A$2:$N$200</definedName>
    <definedName name="_xlnm._FilterDatabase" localSheetId="2" hidden="1">'비기능명세'!$A$1:$I$13</definedName>
    <definedName name="_xlnm._FilterDatabase" localSheetId="4" hidden="1">'예시_기능명세서'!$A$2:$N$35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864"/>
      <sz val="15"/>
    </font>
    <font>
      <name val="Arial"/>
      <charset val="1"/>
      <family val="0"/>
      <color theme="1"/>
      <sz val="9"/>
    </font>
    <font>
      <name val="Noto Sans CJK SC"/>
      <family val="2"/>
      <color theme="1"/>
      <sz val="9"/>
    </font>
    <font>
      <name val="Arial"/>
      <charset val="1"/>
      <family val="0"/>
      <b val="1"/>
      <color rgb="FF1F3864"/>
      <sz val="11"/>
    </font>
    <font>
      <name val="Noto Sans CJK SC"/>
      <family val="2"/>
      <b val="1"/>
      <color rgb="FF1F3864"/>
      <sz val="11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b val="1"/>
      <color theme="1"/>
      <sz val="10"/>
    </font>
    <font>
      <name val="Noto Sans CJK SC"/>
      <charset val="1"/>
      <family val="2"/>
      <color theme="1"/>
      <sz val="10"/>
    </font>
    <font>
      <name val="Arial"/>
      <charset val="1"/>
      <family val="0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family val="2"/>
      <b val="1"/>
      <color theme="1"/>
      <sz val="10"/>
    </font>
    <font>
      <name val="Noto Sans CJK SC"/>
      <charset val="1"/>
      <family val="2"/>
      <color theme="1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5"/>
    </font>
    <font>
      <name val="Noto Sans CJK SC"/>
      <family val="2"/>
      <b val="1"/>
      <color rgb="FF1F3864"/>
      <sz val="15"/>
    </font>
    <font>
      <name val="Arial"/>
      <charset val="1"/>
      <family val="0"/>
      <b val="1"/>
      <color rgb="FF1F3864"/>
      <sz val="12"/>
    </font>
    <font>
      <name val="Noto Sans CJK SC"/>
      <family val="2"/>
      <b val="1"/>
      <color rgb="FF1F3864"/>
      <sz val="12"/>
    </font>
    <font>
      <name val="Noto Sans"/>
      <charset val="1"/>
      <family val="0"/>
      <color theme="1"/>
      <sz val="10"/>
    </font>
    <font>
      <name val="Noto Sans CJK SC"/>
      <charset val="1"/>
      <family val="2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b val="1"/>
      <color rgb="FF1F3864"/>
      <sz val="12"/>
    </font>
  </fonts>
  <fills count="12">
    <fill>
      <patternFill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FBE5D6"/>
      </patternFill>
    </fill>
    <fill>
      <patternFill patternType="solid">
        <fgColor rgb="FF8EAADB"/>
        <bgColor rgb="FFB0B0B0"/>
      </patternFill>
    </fill>
    <fill>
      <patternFill patternType="solid">
        <fgColor rgb="FFF8CBAD"/>
        <bgColor rgb="FFFCE4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DDEBF7"/>
      </patternFill>
    </fill>
    <fill>
      <patternFill patternType="solid">
        <fgColor rgb="FFD0E0E3"/>
        <bgColor rgb="FFD9E2F3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7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16" fillId="7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7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5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20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16" fillId="7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8EAADB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8EAADB"/>
      <rgbColor rgb="FF993366"/>
      <rgbColor rgb="FFFFF2CC"/>
      <rgbColor rgb="FFDDEBF7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BE5D6"/>
      <rgbColor rgb="FF99CCFF"/>
      <rgbColor rgb="FFFCE4D6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" customWidth="1" style="43" min="1" max="1"/>
    <col width="30" customWidth="1" style="43" min="2" max="2"/>
    <col width="42" customWidth="1" style="43" min="3" max="4"/>
    <col width="24" customWidth="1" style="43" min="5" max="5"/>
    <col width="8.710000000000001" customWidth="1" style="43" min="6" max="26"/>
  </cols>
  <sheetData>
    <row r="1" ht="30" customHeight="1" s="44">
      <c r="A1" s="45" t="inlineStr">
        <is>
          <t>기능 요구 명세서 — 작성 가이드</t>
        </is>
      </c>
    </row>
    <row r="2" ht="15" customHeight="1" s="44">
      <c r="A2" s="46" t="inlineStr">
        <is>
          <t>'기능명세서' 시트에 기능을 한 줄씩 채워 넣으세요. ★ 표시 열은 AI 서비스 과제에 맞춰 추가한 열입니다.</t>
        </is>
      </c>
    </row>
    <row r="4" ht="21.75" customHeight="1" s="44">
      <c r="A4" s="47" t="inlineStr">
        <is>
          <t>1. 열별 작성 요령</t>
        </is>
      </c>
    </row>
    <row r="5" ht="19.5" customHeight="1" s="44">
      <c r="A5" s="48" t="inlineStr">
        <is>
          <t>열</t>
        </is>
      </c>
      <c r="B5" s="48" t="inlineStr">
        <is>
          <t>무엇을 쓰나</t>
        </is>
      </c>
      <c r="C5" s="48" t="inlineStr">
        <is>
          <t>작성 예시</t>
        </is>
      </c>
      <c r="D5" s="48" t="inlineStr">
        <is>
          <t>자주 하는 실수</t>
        </is>
      </c>
      <c r="E5" s="48" t="inlineStr">
        <is>
          <t>필수</t>
        </is>
      </c>
    </row>
    <row r="6" ht="31.5" customHeight="1" s="44">
      <c r="A6" s="49" t="inlineStr">
        <is>
          <t>ID ★</t>
        </is>
      </c>
      <c r="B6" s="50" t="inlineStr">
        <is>
          <t>도메인+번호. FR-{도메인}-{2자리}</t>
        </is>
      </c>
      <c r="C6" s="51" t="inlineStr">
        <is>
          <t>FR-CHAT-01</t>
        </is>
      </c>
      <c r="D6" s="51" t="inlineStr">
        <is>
          <t>ID를 안 붙임 → 이슈·테스트와 연결이 끊김</t>
        </is>
      </c>
      <c r="E6" s="52" t="inlineStr">
        <is>
          <t>필수</t>
        </is>
      </c>
    </row>
    <row r="7" ht="31.5" customHeight="1" s="44">
      <c r="A7" s="53" t="inlineStr">
        <is>
          <t>페이지</t>
        </is>
      </c>
      <c r="B7" s="54" t="inlineStr">
        <is>
          <t>이 기능이 나타나는 화면 단위</t>
        </is>
      </c>
      <c r="C7" s="54" t="inlineStr">
        <is>
          <t>질의응답 페이지</t>
        </is>
      </c>
      <c r="D7" s="54" t="inlineStr">
        <is>
          <t>화면이 아닌 기능 묶음을 적음</t>
        </is>
      </c>
      <c r="E7" s="55" t="inlineStr">
        <is>
          <t>필수</t>
        </is>
      </c>
    </row>
    <row r="8" ht="31.5" customHeight="1" s="44">
      <c r="A8" s="53" t="inlineStr">
        <is>
          <t>대분류</t>
        </is>
      </c>
      <c r="B8" s="54" t="inlineStr">
        <is>
          <t>화면 안의 영역 또는 기능군</t>
        </is>
      </c>
      <c r="C8" s="54" t="inlineStr">
        <is>
          <t>채팅</t>
        </is>
      </c>
      <c r="D8" s="54" t="inlineStr">
        <is>
          <t>페이지와 같은 말을 반복</t>
        </is>
      </c>
      <c r="E8" s="55" t="inlineStr">
        <is>
          <t>필수</t>
        </is>
      </c>
    </row>
    <row r="9" ht="31.5" customHeight="1" s="44">
      <c r="A9" s="53" t="inlineStr">
        <is>
          <t>소분류</t>
        </is>
      </c>
      <c r="B9" s="54" t="inlineStr">
        <is>
          <t>대분류 안의 세부 항목</t>
        </is>
      </c>
      <c r="C9" s="54" t="inlineStr">
        <is>
          <t>질문 입력</t>
        </is>
      </c>
      <c r="D9" s="54" t="inlineStr">
        <is>
          <t>대분류와 구분이 안 되게 씀</t>
        </is>
      </c>
      <c r="E9" s="55" t="inlineStr">
        <is>
          <t>필수</t>
        </is>
      </c>
    </row>
    <row r="10" ht="31.5" customHeight="1" s="44">
      <c r="A10" s="53" t="inlineStr">
        <is>
          <t>기능 정의</t>
        </is>
      </c>
      <c r="B10" s="54" t="inlineStr">
        <is>
          <t>사용자 관점에서 '무엇을 할 수 있는가' 한 문장</t>
        </is>
      </c>
      <c r="C10" s="54" t="inlineStr">
        <is>
          <t>사용자가 업로드한 자료를 근거로 질문에 답변받는다</t>
        </is>
      </c>
      <c r="D10" s="54" t="inlineStr">
        <is>
          <t>시스템 관점으로 씀 / 두 기능을 한 문장에 담음</t>
        </is>
      </c>
      <c r="E10" s="55" t="inlineStr">
        <is>
          <t>필수</t>
        </is>
      </c>
    </row>
    <row r="11" ht="31.5" customHeight="1" s="44">
      <c r="A11" s="53" t="inlineStr">
        <is>
          <t>기능</t>
        </is>
      </c>
      <c r="B11" s="54" t="inlineStr">
        <is>
          <t>그 정의를 이루는 동작 하나</t>
        </is>
      </c>
      <c r="C11" s="54" t="inlineStr">
        <is>
          <t>질문 입력 후 전송 시 답변 스트리밍 출력</t>
        </is>
      </c>
      <c r="D11" s="56" t="inlineStr">
        <is>
          <t>'그리고'가 들어감 → 두 줄로 나눌 신호</t>
        </is>
      </c>
      <c r="E11" s="55" t="inlineStr">
        <is>
          <t>필수</t>
        </is>
      </c>
    </row>
    <row r="12" ht="31.5" customHeight="1" s="44">
      <c r="A12" s="53" t="inlineStr">
        <is>
          <t>세부 기능</t>
        </is>
      </c>
      <c r="B12" s="54" t="inlineStr">
        <is>
          <t>화면에서 실제로 보이고 동작하는 조건·규칙</t>
        </is>
      </c>
      <c r="C12" s="56" t="inlineStr">
        <is>
          <t>1~500자 제한, 초과 시 전송 버튼 비활성화</t>
        </is>
      </c>
      <c r="D12" s="54" t="inlineStr">
        <is>
          <t>비워둠 → 개발 단계에서 매번 되물음</t>
        </is>
      </c>
      <c r="E12" s="55" t="inlineStr">
        <is>
          <t>필수</t>
        </is>
      </c>
    </row>
    <row r="13" ht="31.5" customHeight="1" s="44">
      <c r="A13" s="53" t="inlineStr">
        <is>
          <t>필요한 데이터</t>
        </is>
      </c>
      <c r="B13" s="54" t="inlineStr">
        <is>
          <t>이 기능이 읽고 쓰는 데이터 항목</t>
        </is>
      </c>
      <c r="C13" s="54" t="inlineStr">
        <is>
          <t>회원 ID, 질문 텍스트, 문서 청크, 유사도</t>
        </is>
      </c>
      <c r="D13" s="54" t="inlineStr">
        <is>
          <t>테이블명만 적고 컬럼을 안 적음</t>
        </is>
      </c>
      <c r="E13" s="55" t="inlineStr">
        <is>
          <t>필수</t>
        </is>
      </c>
    </row>
    <row r="14" ht="31.5" customHeight="1" s="44">
      <c r="A14" s="49" t="inlineStr">
        <is>
          <t>AI 활용 ★</t>
        </is>
      </c>
      <c r="B14" s="50" t="inlineStr">
        <is>
          <t>이 행이 어떤 AI 기술 요소에 해당하는지</t>
        </is>
      </c>
      <c r="C14" s="51" t="inlineStr">
        <is>
          <t>RAG</t>
        </is>
      </c>
      <c r="D14" s="51" t="inlineStr">
        <is>
          <t>AI 행을 표시 안 함 → 요건 충족을 증명하기 어려움</t>
        </is>
      </c>
      <c r="E14" s="57" t="inlineStr">
        <is>
          <t>AI행만</t>
        </is>
      </c>
    </row>
    <row r="15" ht="31.5" customHeight="1" s="44">
      <c r="A15" s="58" t="inlineStr">
        <is>
          <t>우선순위 ★</t>
        </is>
      </c>
      <c r="B15" s="51" t="inlineStr">
        <is>
          <t>Must / Should / Could / Won't</t>
        </is>
      </c>
      <c r="C15" s="51" t="inlineStr">
        <is>
          <t>Must</t>
        </is>
      </c>
      <c r="D15" s="50" t="inlineStr">
        <is>
          <t>전부 Must로 채움 → 일정 관리가 안 된 것으로 보임</t>
        </is>
      </c>
      <c r="E15" s="52" t="inlineStr">
        <is>
          <t>필수</t>
        </is>
      </c>
    </row>
    <row r="16" ht="31.5" customHeight="1" s="44">
      <c r="A16" s="53" t="inlineStr">
        <is>
          <t>세부 사항</t>
        </is>
      </c>
      <c r="B16" s="54" t="inlineStr">
        <is>
          <t>예외·실패 시 동작, 정렬 기준, 표시 규칙</t>
        </is>
      </c>
      <c r="C16" s="54" t="inlineStr">
        <is>
          <t>유사도 0.72 미만이면 답변 생성하지 않고 '자료 없음' 안내</t>
        </is>
      </c>
      <c r="D16" s="54" t="inlineStr">
        <is>
          <t>정상 흐름만 적고 예외를 안 적음 → 가장 많이 감점</t>
        </is>
      </c>
      <c r="E16" s="55" t="inlineStr">
        <is>
          <t>필수</t>
        </is>
      </c>
    </row>
    <row r="17" ht="31.5" customHeight="1" s="44">
      <c r="A17" s="53" t="inlineStr">
        <is>
          <t>기타 의견</t>
        </is>
      </c>
      <c r="B17" s="54" t="inlineStr">
        <is>
          <t>팀 내 미확정 사항, 논의 필요 항목</t>
        </is>
      </c>
      <c r="C17" s="54" t="inlineStr">
        <is>
          <t>출처를 페이지 단위로 할지 문단 단위로 할지 논의 필요</t>
        </is>
      </c>
      <c r="D17" s="54" t="inlineStr">
        <is>
          <t>빈칸으로 두기보다 고민 흔적을 남기는 편이 유리</t>
        </is>
      </c>
      <c r="E17" s="55" t="inlineStr">
        <is>
          <t>선택</t>
        </is>
      </c>
    </row>
    <row r="18" ht="31.5" customHeight="1" s="44">
      <c r="A18" s="53" t="inlineStr">
        <is>
          <t>권한</t>
        </is>
      </c>
      <c r="B18" s="54" t="inlineStr">
        <is>
          <t>이 기능을 쓸 수 있는 대상</t>
        </is>
      </c>
      <c r="C18" s="54" t="inlineStr">
        <is>
          <t>회원 / 비회원 / 관리자 / 작성자 본인</t>
        </is>
      </c>
      <c r="D18" s="54" t="inlineStr">
        <is>
          <t>권한 구분을 안 해 타인 데이터 접근 취약점 발생</t>
        </is>
      </c>
      <c r="E18" s="55" t="inlineStr">
        <is>
          <t>필수</t>
        </is>
      </c>
    </row>
    <row r="19" ht="31.5" customHeight="1" s="44">
      <c r="A19" s="53" t="inlineStr">
        <is>
          <t>비고</t>
        </is>
      </c>
      <c r="B19" s="54" t="inlineStr">
        <is>
          <t>구현 난이도, 참고 링크, 담당자</t>
        </is>
      </c>
      <c r="C19" s="54" t="inlineStr">
        <is>
          <t>담당: 김철수 / 3주차</t>
        </is>
      </c>
      <c r="D19" s="54" t="n"/>
      <c r="E19" s="55" t="inlineStr">
        <is>
          <t>선택</t>
        </is>
      </c>
    </row>
    <row r="21" ht="21.75" customHeight="1" s="44">
      <c r="A21" s="47" t="inlineStr">
        <is>
          <t>2. 작성 순서</t>
        </is>
      </c>
    </row>
    <row r="22" ht="15" customHeight="1" s="44">
      <c r="A22" s="48" t="inlineStr">
        <is>
          <t>단계</t>
        </is>
      </c>
      <c r="B22" s="48" t="inlineStr">
        <is>
          <t>할 일</t>
        </is>
      </c>
      <c r="C22" s="48" t="inlineStr">
        <is>
          <t>설명</t>
        </is>
      </c>
      <c r="D22" s="59" t="n"/>
      <c r="E22" s="60" t="n"/>
    </row>
    <row r="23" ht="30" customHeight="1" s="44">
      <c r="A23" s="61" t="inlineStr">
        <is>
          <t>1단계</t>
        </is>
      </c>
      <c r="B23" s="54" t="inlineStr">
        <is>
          <t>화면 목록을 먼저 확정한다</t>
        </is>
      </c>
      <c r="C23" s="54" t="inlineStr">
        <is>
          <t>메인 / 로그인 / 회원가입 / 마이페이지 / 핵심기능 페이지 / 관리자. 화면이 정해져야 '페이지' 열이 채워집니다.</t>
        </is>
      </c>
      <c r="D23" s="59" t="n"/>
      <c r="E23" s="60" t="n"/>
    </row>
    <row r="24" ht="30" customHeight="1" s="44">
      <c r="A24" s="61" t="inlineStr">
        <is>
          <t>2단계</t>
        </is>
      </c>
      <c r="B24" s="54" t="inlineStr">
        <is>
          <t>화면마다 대분류·소분류로 영역을 쪼갠다</t>
        </is>
      </c>
      <c r="C24" s="54" t="inlineStr">
        <is>
          <t>머리글 / 본문 / 바닥글, 또는 게시글 / 댓글 처럼 눈에 보이는 덩어리 단위로.</t>
        </is>
      </c>
      <c r="D24" s="59" t="n"/>
      <c r="E24" s="60" t="n"/>
    </row>
    <row r="25" ht="30" customHeight="1" s="44">
      <c r="A25" s="61" t="inlineStr">
        <is>
          <t>3단계</t>
        </is>
      </c>
      <c r="B25" s="54" t="inlineStr">
        <is>
          <t>소분류마다 기능을 한 줄씩 적는다</t>
        </is>
      </c>
      <c r="C25" s="56" t="inlineStr">
        <is>
          <t>'그리고'가 들어가면 두 줄로 나눕니다. 이 단계에서 행이 가장 많이 늘어납니다.</t>
        </is>
      </c>
      <c r="D25" s="59" t="n"/>
      <c r="E25" s="60" t="n"/>
    </row>
    <row r="26" ht="30" customHeight="1" s="44">
      <c r="A26" s="61" t="inlineStr">
        <is>
          <t>4단계</t>
        </is>
      </c>
      <c r="B26" s="54" t="inlineStr">
        <is>
          <t>세부 기능·필요한 데이터를 채운다</t>
        </is>
      </c>
      <c r="C26" s="54" t="inlineStr">
        <is>
          <t>필요한 데이터를 적다 보면 ERD가 자연스럽게 도출됩니다. 여기서 빠진 컬럼이 나중에 다 나옵니다.</t>
        </is>
      </c>
      <c r="D26" s="59" t="n"/>
      <c r="E26" s="60" t="n"/>
    </row>
    <row r="27" ht="30" customHeight="1" s="44">
      <c r="A27" s="61" t="inlineStr">
        <is>
          <t>5단계</t>
        </is>
      </c>
      <c r="B27" s="54" t="inlineStr">
        <is>
          <t>세부 사항(예외)과 권한을 채운다</t>
        </is>
      </c>
      <c r="C27" s="54" t="inlineStr">
        <is>
          <t>가장 귀찮지만 가장 중요한 단계. 여기를 비우면 실사용자 테스트에서 그대로 터집니다.</t>
        </is>
      </c>
      <c r="D27" s="59" t="n"/>
      <c r="E27" s="60" t="n"/>
    </row>
    <row r="28" ht="30" customHeight="1" s="44">
      <c r="A28" s="61" t="inlineStr">
        <is>
          <t>6단계</t>
        </is>
      </c>
      <c r="B28" s="54" t="inlineStr">
        <is>
          <t>우선순위를 매기고 Won't를 결정한다</t>
        </is>
      </c>
      <c r="C28" s="54" t="inlineStr">
        <is>
          <t>전부 Must면 일정 관리를 안 한 것으로 읽힙니다. 4주 기준 Must는 전체의 60% 이하가 현실적.</t>
        </is>
      </c>
      <c r="D28" s="59" t="n"/>
      <c r="E28" s="60" t="n"/>
    </row>
    <row r="29" ht="15.75" customHeight="1" s="44"/>
    <row r="30" ht="21.75" customHeight="1" s="44">
      <c r="A30" s="47" t="inlineStr">
        <is>
          <t>3. AI 서비스 과제에서 추가로 챙길 것</t>
        </is>
      </c>
    </row>
    <row r="31" ht="33.75" customHeight="1" s="44">
      <c r="A31" s="62" t="inlineStr">
        <is>
          <t>▸ AI 행을 표시한다</t>
        </is>
      </c>
      <c r="B31" s="60" t="n"/>
      <c r="C31" s="56" t="inlineStr">
        <is>
          <t>'AI 활용' 열에 RAG / AI Agent / 멀티모달 / 자동화 / Memory 중 하나를 적습니다. 이 열만 필터링하면 '필수 기술 요소 2개 이상' 충족 여부가 한눈에 보입니다.</t>
        </is>
      </c>
      <c r="D31" s="59" t="n"/>
      <c r="E31" s="60" t="n"/>
    </row>
    <row r="32" ht="33.75" customHeight="1" s="44">
      <c r="A32" s="62" t="inlineStr">
        <is>
          <t>▸ AI 기능의 '세부 사항'은 실패 동작을 적는다</t>
        </is>
      </c>
      <c r="B32" s="60" t="n"/>
      <c r="C32" s="56" t="inlineStr">
        <is>
          <t>AI는 입력이 같아도 출력이 매번 다릅니다. 결과값을 규정할 수 없으니 '검색 실패 시', '타임아웃 시', '형식 파싱 실패 시' 무엇을 하는지를 적습니다.</t>
        </is>
      </c>
      <c r="D32" s="59" t="n"/>
      <c r="E32" s="60" t="n"/>
    </row>
    <row r="33" ht="33.75" customHeight="1" s="44">
      <c r="A33" s="63" t="inlineStr">
        <is>
          <t>▸ 표로 표현 안 되는 것은 'AI기능명세' 시트에</t>
        </is>
      </c>
      <c r="B33" s="60" t="n"/>
      <c r="C33" s="56" t="inlineStr">
        <is>
          <t>Agent 도구 목록, RAG 파라미터, 프롬프트 제약, 메모리 갱신 규칙은 한 줄짜리 행에 안 들어갑니다. 세 번째 시트를 쓰세요.</t>
        </is>
      </c>
      <c r="D33" s="59" t="n"/>
      <c r="E33" s="60" t="n"/>
    </row>
    <row r="34" ht="33.75" customHeight="1" s="44">
      <c r="A34" s="62" t="inlineStr">
        <is>
          <t>▸ AI 윤리 항목을 기능으로 넣는다</t>
        </is>
      </c>
      <c r="B34" s="60" t="n"/>
      <c r="C34" s="56" t="inlineStr">
        <is>
          <t>'AI 생성 콘텐츠 배지 표시', '부정확 가능성 고지'를 각각 한 행으로 만드세요. 명세서에 없으면 구현 때 반드시 빼먹습니다.</t>
        </is>
      </c>
      <c r="D34" s="59" t="n"/>
      <c r="E34" s="60" t="n"/>
    </row>
    <row r="35" ht="33.75" customHeight="1" s="44">
      <c r="A35" s="63" t="inlineStr">
        <is>
          <t>▸ 피드백 수집도 기능이다</t>
        </is>
      </c>
      <c r="B35" s="60" t="n"/>
      <c r="C35" s="54" t="inlineStr">
        <is>
          <t>답변별 좋아요/싫어요 버튼, 종료 설문을 행으로 넣으세요. 과제 필수 요건(실사용자 5명)의 근거가 됩니다.</t>
        </is>
      </c>
      <c r="D35" s="59" t="n"/>
      <c r="E35" s="60" t="n"/>
    </row>
    <row r="36" ht="15.75" customHeight="1" s="44"/>
    <row r="37" ht="21.75" customHeight="1" s="44">
      <c r="A37" s="47" t="inlineStr">
        <is>
          <t>4. 진행 현황 (자동 집계)</t>
        </is>
      </c>
    </row>
    <row r="38" ht="15" customHeight="1" s="44">
      <c r="A38" s="48" t="inlineStr">
        <is>
          <t>구분</t>
        </is>
      </c>
      <c r="B38" s="48" t="inlineStr">
        <is>
          <t>건수</t>
        </is>
      </c>
      <c r="C38" s="48" t="inlineStr">
        <is>
          <t>설명</t>
        </is>
      </c>
      <c r="D38" s="59" t="n"/>
      <c r="E38" s="60" t="n"/>
    </row>
    <row r="39" ht="15" customHeight="1" s="44">
      <c r="A39" s="61" t="inlineStr">
        <is>
          <t>Must</t>
        </is>
      </c>
      <c r="B39" s="55">
        <f>COUNTIF(기능명세서!$J$3:$J$200,"Must")</f>
        <v/>
      </c>
      <c r="C39" s="64" t="inlineStr">
        <is>
          <t>없으면 서비스가 성립하지 않는 기능</t>
        </is>
      </c>
      <c r="D39" s="59" t="n"/>
      <c r="E39" s="60" t="n"/>
    </row>
    <row r="40" ht="15" customHeight="1" s="44">
      <c r="A40" s="61" t="inlineStr">
        <is>
          <t>Should</t>
        </is>
      </c>
      <c r="B40" s="55">
        <f>COUNTIF(기능명세서!$J$3:$J$200,"Should")</f>
        <v/>
      </c>
      <c r="C40" s="64" t="inlineStr">
        <is>
          <t>중요하지만 없어도 동작</t>
        </is>
      </c>
      <c r="D40" s="59" t="n"/>
      <c r="E40" s="60" t="n"/>
    </row>
    <row r="41" ht="15" customHeight="1" s="44">
      <c r="A41" s="61" t="inlineStr">
        <is>
          <t>Could</t>
        </is>
      </c>
      <c r="B41" s="55">
        <f>COUNTIF(기능명세서!$J$3:$J$200,"Could")</f>
        <v/>
      </c>
      <c r="C41" s="64" t="inlineStr">
        <is>
          <t>여유가 되면 구현</t>
        </is>
      </c>
      <c r="D41" s="59" t="n"/>
      <c r="E41" s="60" t="n"/>
    </row>
    <row r="42" ht="15" customHeight="1" s="44">
      <c r="A42" s="61" t="inlineStr">
        <is>
          <t>Won't</t>
        </is>
      </c>
      <c r="B42" s="55">
        <f>COUNTIF(기능명세서!$J$3:$J$200,"Won't")</f>
        <v/>
      </c>
      <c r="C42" s="64" t="inlineStr">
        <is>
          <t>이번 범위에서 제외 (지우지 말고 남겨둘 것)</t>
        </is>
      </c>
      <c r="D42" s="59" t="n"/>
      <c r="E42" s="60" t="n"/>
    </row>
    <row r="43" ht="15" customHeight="1" s="44">
      <c r="A43" s="53" t="inlineStr">
        <is>
          <t>합계</t>
        </is>
      </c>
      <c r="B43" s="55">
        <f>SUM(B39:B42)</f>
        <v/>
      </c>
      <c r="C43" s="64" t="inlineStr">
        <is>
          <t>전체 기능 수</t>
        </is>
      </c>
      <c r="D43" s="59" t="n"/>
      <c r="E43" s="60" t="n"/>
    </row>
    <row r="44" ht="15" customHeight="1" s="44">
      <c r="A44" s="61" t="inlineStr">
        <is>
          <t>AI 관련 행</t>
        </is>
      </c>
      <c r="B44" s="55">
        <f>COUNTA(기능명세서!$I$3:$I$200)</f>
        <v/>
      </c>
      <c r="C44" s="65" t="inlineStr">
        <is>
          <t>'필수 기술 요소' 충족 근거</t>
        </is>
      </c>
      <c r="D44" s="59" t="n"/>
      <c r="E44" s="60" t="n"/>
    </row>
    <row r="45" ht="15.75" customHeight="1" s="44"/>
    <row r="46" ht="21.75" customHeight="1" s="44">
      <c r="A46" s="47" t="inlineStr">
        <is>
          <t>5. 제출 전 체크리스트</t>
        </is>
      </c>
    </row>
    <row r="47" ht="19.5" customHeight="1" s="44">
      <c r="A47" s="66" t="inlineStr">
        <is>
          <t>☐  모든 행에 ID가 있고 중복이 없다</t>
        </is>
      </c>
      <c r="B47" s="59" t="n"/>
      <c r="C47" s="59" t="n"/>
      <c r="D47" s="59" t="n"/>
      <c r="E47" s="60" t="n"/>
    </row>
    <row r="48" ht="19.5" customHeight="1" s="44">
      <c r="A48" s="67" t="inlineStr">
        <is>
          <t>☐  '세부 사항' 열에 예외 처리가 최소 한 줄씩 적혀 있다</t>
        </is>
      </c>
      <c r="B48" s="59" t="n"/>
      <c r="C48" s="59" t="n"/>
      <c r="D48" s="59" t="n"/>
      <c r="E48" s="60" t="n"/>
    </row>
    <row r="49" ht="19.5" customHeight="1" s="44">
      <c r="A49" s="67" t="inlineStr">
        <is>
          <t>☐  '권한' 열이 비어 있는 행이 없다 (타인 데이터 접근 취약점의 원인)</t>
        </is>
      </c>
      <c r="B49" s="59" t="n"/>
      <c r="C49" s="59" t="n"/>
      <c r="D49" s="59" t="n"/>
      <c r="E49" s="60" t="n"/>
    </row>
    <row r="50" ht="19.5" customHeight="1" s="44">
      <c r="A50" s="67" t="inlineStr">
        <is>
          <t>☐  'AI 활용' 열에 표시된 기술 요소가 2종류 이상이다</t>
        </is>
      </c>
      <c r="B50" s="59" t="n"/>
      <c r="C50" s="59" t="n"/>
      <c r="D50" s="59" t="n"/>
      <c r="E50" s="60" t="n"/>
    </row>
    <row r="51" ht="19.5" customHeight="1" s="44">
      <c r="A51" s="67" t="inlineStr">
        <is>
          <t>☐  AI 생성 콘텐츠 고지 / 개인정보 동의 / 피드백 수집이 각각 행으로 존재한다</t>
        </is>
      </c>
      <c r="B51" s="59" t="n"/>
      <c r="C51" s="59" t="n"/>
      <c r="D51" s="59" t="n"/>
      <c r="E51" s="60" t="n"/>
    </row>
    <row r="52" ht="19.5" customHeight="1" s="44">
      <c r="A52" s="66" t="inlineStr">
        <is>
          <t>☐  우선순위가 전부 Must가 아니다</t>
        </is>
      </c>
      <c r="B52" s="59" t="n"/>
      <c r="C52" s="59" t="n"/>
      <c r="D52" s="59" t="n"/>
      <c r="E52" s="60" t="n"/>
    </row>
    <row r="53" ht="19.5" customHeight="1" s="44">
      <c r="A53" s="67" t="inlineStr">
        <is>
          <t>☐  'AI기능명세' 시트의 Agent 도구표 또는 RAG 파라미터표가 채워져 있다</t>
        </is>
      </c>
      <c r="B53" s="59" t="n"/>
      <c r="C53" s="59" t="n"/>
      <c r="D53" s="59" t="n"/>
      <c r="E53" s="60" t="n"/>
    </row>
    <row r="54" ht="19.5" customHeight="1" s="44">
      <c r="A54" s="66" t="inlineStr">
        <is>
          <t>☐  기획서에 적은 문제 하나하나가 어떤 ID로 해결되는지 설명할 수 있다</t>
        </is>
      </c>
      <c r="B54" s="59" t="n"/>
      <c r="C54" s="59" t="n"/>
      <c r="D54" s="59" t="n"/>
      <c r="E54" s="60" t="n"/>
    </row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39">
    <mergeCell ref="A30:E30"/>
    <mergeCell ref="A48:E48"/>
    <mergeCell ref="C44:E44"/>
    <mergeCell ref="C41:E41"/>
    <mergeCell ref="C31:E31"/>
    <mergeCell ref="C22:E22"/>
    <mergeCell ref="C40:E40"/>
    <mergeCell ref="A49:E49"/>
    <mergeCell ref="A51:E51"/>
    <mergeCell ref="A1:E1"/>
    <mergeCell ref="C43:E43"/>
    <mergeCell ref="C27:E27"/>
    <mergeCell ref="A54:E54"/>
    <mergeCell ref="C23:E23"/>
    <mergeCell ref="C39:E39"/>
    <mergeCell ref="A37:E37"/>
    <mergeCell ref="A46:E46"/>
    <mergeCell ref="C32:E32"/>
    <mergeCell ref="C38:E38"/>
    <mergeCell ref="A21:E21"/>
    <mergeCell ref="A50:E50"/>
    <mergeCell ref="C28:E28"/>
    <mergeCell ref="A2:E2"/>
    <mergeCell ref="A33:B33"/>
    <mergeCell ref="A32:B32"/>
    <mergeCell ref="A47:E47"/>
    <mergeCell ref="C34:E34"/>
    <mergeCell ref="C24:E24"/>
    <mergeCell ref="A35:B35"/>
    <mergeCell ref="C42:E42"/>
    <mergeCell ref="A53:E53"/>
    <mergeCell ref="C33:E33"/>
    <mergeCell ref="A4:E4"/>
    <mergeCell ref="A52:E52"/>
    <mergeCell ref="C26:E26"/>
    <mergeCell ref="C35:E35"/>
    <mergeCell ref="A31:B31"/>
    <mergeCell ref="C25:E25"/>
    <mergeCell ref="A34:B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baseColWidth="8" defaultColWidth="14.43359375" defaultRowHeight="15" zeroHeight="0" outlineLevelRow="0"/>
  <cols>
    <col width="12" customWidth="1" style="43" min="1" max="1"/>
    <col width="14" customWidth="1" style="43" min="2" max="2"/>
    <col width="12" customWidth="1" style="43" min="3" max="3"/>
    <col width="14" customWidth="1" style="43" min="4" max="4"/>
    <col width="30" customWidth="1" style="43" min="5" max="6"/>
    <col width="34" customWidth="1" style="43" min="7" max="7"/>
    <col width="24" customWidth="1" style="43" min="8" max="8"/>
    <col width="12" customWidth="1" style="43" min="9" max="9"/>
    <col width="11" customWidth="1" style="43" min="10" max="10"/>
    <col width="34" customWidth="1" style="43" min="11" max="11"/>
    <col width="22" customWidth="1" style="43" min="12" max="12"/>
    <col width="12" customWidth="1" style="43" min="13" max="13"/>
    <col width="16" customWidth="1" style="43" min="14" max="14"/>
    <col width="8.710000000000001" customWidth="1" style="43" min="15" max="26"/>
  </cols>
  <sheetData>
    <row r="1" ht="19.5" customHeight="1" s="44">
      <c r="A1" s="68" t="inlineStr">
        <is>
          <t>ID ★</t>
        </is>
      </c>
      <c r="B1" s="69" t="inlineStr">
        <is>
          <t>페이지</t>
        </is>
      </c>
      <c r="C1" s="69" t="inlineStr">
        <is>
          <t>요구사항</t>
        </is>
      </c>
      <c r="D1" s="70" t="n"/>
      <c r="E1" s="69" t="inlineStr">
        <is>
          <t>기능 정의</t>
        </is>
      </c>
      <c r="F1" s="69" t="inlineStr">
        <is>
          <t>기능</t>
        </is>
      </c>
      <c r="G1" s="69" t="inlineStr">
        <is>
          <t>세부 기능</t>
        </is>
      </c>
      <c r="H1" s="69" t="inlineStr">
        <is>
          <t>필요한 데이터</t>
        </is>
      </c>
      <c r="I1" s="68" t="inlineStr">
        <is>
          <t>AI 활용 ★</t>
        </is>
      </c>
      <c r="J1" s="69" t="inlineStr">
        <is>
          <t>우선순위 ★</t>
        </is>
      </c>
      <c r="K1" s="69" t="inlineStr">
        <is>
          <t>세부 사항</t>
        </is>
      </c>
      <c r="L1" s="69" t="inlineStr">
        <is>
          <t>기타 의견</t>
        </is>
      </c>
      <c r="M1" s="69" t="inlineStr">
        <is>
          <t>권한</t>
        </is>
      </c>
      <c r="N1" s="69" t="inlineStr">
        <is>
          <t>비고</t>
        </is>
      </c>
    </row>
    <row r="2" ht="19.5" customHeight="1" s="44">
      <c r="A2" s="68" t="n"/>
      <c r="B2" s="68" t="n"/>
      <c r="C2" s="71" t="inlineStr">
        <is>
          <t>대분류</t>
        </is>
      </c>
      <c r="D2" s="71" t="inlineStr">
        <is>
          <t>소분류</t>
        </is>
      </c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</row>
    <row r="3" ht="45.75" customHeight="1" s="44">
      <c r="A3" s="54" t="inlineStr">
        <is>
          <t>FR-MAIN-01</t>
        </is>
      </c>
      <c r="B3" s="73" t="inlineStr">
        <is>
          <t>메인(대시보드)</t>
        </is>
      </c>
      <c r="C3" s="54" t="inlineStr">
        <is>
          <t>머리글</t>
        </is>
      </c>
      <c r="D3" s="54" t="inlineStr">
        <is>
          <t>로고</t>
        </is>
      </c>
      <c r="E3" s="54" t="inlineStr">
        <is>
          <t>로고를 눌러 대시보드로 돌아온다</t>
        </is>
      </c>
      <c r="F3" s="54" t="inlineStr">
        <is>
          <t>클릭 시 대시보드로 이동</t>
        </is>
      </c>
      <c r="G3" s="54" t="inlineStr">
        <is>
          <t>모든 화면 상단에 고정 노출</t>
        </is>
      </c>
      <c r="H3" s="54" t="inlineStr">
        <is>
          <t>대시보드 링크</t>
        </is>
      </c>
      <c r="I3" s="54" t="n"/>
      <c r="J3" s="56" t="inlineStr">
        <is>
          <t>Should</t>
        </is>
      </c>
      <c r="K3" s="54" t="inlineStr">
        <is>
          <t>비로그인 상태에서 클릭하면 랜딩 페이지로 이동</t>
        </is>
      </c>
      <c r="L3" s="54" t="n"/>
      <c r="M3" s="54" t="inlineStr">
        <is>
          <t>비회원</t>
        </is>
      </c>
      <c r="N3" s="54" t="n"/>
    </row>
    <row r="4" ht="45.75" customHeight="1" s="44">
      <c r="A4" s="54" t="inlineStr">
        <is>
          <t>FR-MAIN-02</t>
        </is>
      </c>
      <c r="B4" s="74" t="n"/>
      <c r="C4" s="54" t="inlineStr">
        <is>
          <t>머리글</t>
        </is>
      </c>
      <c r="D4" s="54" t="inlineStr">
        <is>
          <t>로그인/마이페이지</t>
        </is>
      </c>
      <c r="E4" s="54" t="inlineStr">
        <is>
          <t>로그인 상태에 따라 다른 메뉴를 본다</t>
        </is>
      </c>
      <c r="F4" s="54" t="inlineStr">
        <is>
          <t>비로그인 시 로그인 버튼, 로그인 시 '○○○님' 표시</t>
        </is>
      </c>
      <c r="G4" s="54" t="inlineStr">
        <is>
          <t>마이페이지 드롭다운(설정·로그아웃) 제공</t>
        </is>
      </c>
      <c r="H4" s="54" t="inlineStr">
        <is>
          <t>회원 ID, 닉네임</t>
        </is>
      </c>
      <c r="I4" s="54" t="n"/>
      <c r="J4" s="56" t="inlineStr">
        <is>
          <t>Must</t>
        </is>
      </c>
      <c r="K4" s="54" t="inlineStr">
        <is>
          <t>비로그인 상태로 마이페이지 진입 시 로그인 페이지로 이동</t>
        </is>
      </c>
      <c r="L4" s="54" t="n"/>
      <c r="M4" s="54" t="inlineStr">
        <is>
          <t>비회원</t>
        </is>
      </c>
      <c r="N4" s="54" t="n"/>
    </row>
    <row r="5" ht="45.75" customHeight="1" s="44">
      <c r="A5" s="54" t="inlineStr">
        <is>
          <t>FR-MAIN-03</t>
        </is>
      </c>
      <c r="B5" s="74" t="n"/>
      <c r="C5" s="54" t="inlineStr">
        <is>
          <t>본문</t>
        </is>
      </c>
      <c r="D5" s="54" t="inlineStr">
        <is>
          <t>오늘의 학습 블록</t>
        </is>
      </c>
      <c r="E5" s="54" t="inlineStr">
        <is>
          <t>오늘 배정된 학습 블록을 한눈에 확인한다</t>
        </is>
      </c>
      <c r="F5" s="54" t="inlineStr">
        <is>
          <t>오늘 날짜의 블록을 시간순 카드로 표시</t>
        </is>
      </c>
      <c r="G5" s="54" t="inlineStr">
        <is>
          <t>블록별 과목·학습 범위·예상 소요시간·완료 체크박스 표시</t>
        </is>
      </c>
      <c r="H5" s="54" t="inlineStr">
        <is>
          <t>회원 ID, 블록 ID, 시작·종료 시각, 학습 단위명, 완료 여부</t>
        </is>
      </c>
      <c r="I5" s="54" t="n"/>
      <c r="J5" s="56" t="inlineStr">
        <is>
          <t>Must</t>
        </is>
      </c>
      <c r="K5" s="54" t="inlineStr">
        <is>
          <t>블록 0건이면 '오늘은 휴식일입니다' 안내와 일정 재생성 버튼 노출 / 지난 시각 블록은 회색 처리</t>
        </is>
      </c>
      <c r="L5" s="54" t="n"/>
      <c r="M5" s="54" t="inlineStr">
        <is>
          <t>회원</t>
        </is>
      </c>
      <c r="N5" s="54" t="inlineStr">
        <is>
          <t>파이프라인 1의 결과 화면</t>
        </is>
      </c>
    </row>
    <row r="6" ht="45.75" customHeight="1" s="44">
      <c r="A6" s="54" t="inlineStr">
        <is>
          <t>FR-MAIN-04</t>
        </is>
      </c>
      <c r="B6" s="74" t="n"/>
      <c r="C6" s="54" t="inlineStr">
        <is>
          <t>본문</t>
        </is>
      </c>
      <c r="D6" s="54" t="inlineStr">
        <is>
          <t>목표 진행률</t>
        </is>
      </c>
      <c r="E6" s="54" t="inlineStr">
        <is>
          <t>목표까지 남은 양과 D-day를 확인한다</t>
        </is>
      </c>
      <c r="F6" s="54" t="inlineStr">
        <is>
          <t>진행률 바와 D-day를 상단에 표시</t>
        </is>
      </c>
      <c r="G6" s="54" t="inlineStr">
        <is>
          <t>완료 학습 단위 수 ÷ 전체 학습 단위 수 기준 백분율</t>
        </is>
      </c>
      <c r="H6" s="54" t="inlineStr">
        <is>
          <t>회원 ID, 목표 ID, 목표 기한, 완료 단위 수, 전체 단위 수</t>
        </is>
      </c>
      <c r="I6" s="54" t="n"/>
      <c r="J6" s="56" t="inlineStr">
        <is>
          <t>Should</t>
        </is>
      </c>
      <c r="K6" s="54" t="inlineStr">
        <is>
          <t>기한이 지나면 D+로 표시하고 목표 종료 여부를 묻는 모달 노출</t>
        </is>
      </c>
      <c r="L6" s="54" t="n"/>
      <c r="M6" s="54" t="inlineStr">
        <is>
          <t>회원</t>
        </is>
      </c>
      <c r="N6" s="54" t="n"/>
    </row>
    <row r="7" ht="45.75" customHeight="1" s="44">
      <c r="A7" s="54" t="inlineStr">
        <is>
          <t>FR-PACE-04</t>
        </is>
      </c>
      <c r="B7" s="74" t="n"/>
      <c r="C7" s="54" t="inlineStr">
        <is>
          <t>본문</t>
        </is>
      </c>
      <c r="D7" s="54" t="inlineStr">
        <is>
          <t>진도 신호등</t>
        </is>
      </c>
      <c r="E7" s="54" t="inlineStr">
        <is>
          <t>계획 대비 현재 위치를 한눈에 본다</t>
        </is>
      </c>
      <c r="F7" s="54" t="inlineStr">
        <is>
          <t>기대 진도 대비 상태를 3색과 한 문장으로 표시</t>
        </is>
      </c>
      <c r="G7" s="54" t="inlineStr">
        <is>
          <t>'이번 주 일요일까지 3단원 완료' 형태의 다음 체크포인트 문장 상시 노출 / 앞섬·정상·지연 3색</t>
        </is>
      </c>
      <c r="H7" s="54" t="inlineStr">
        <is>
          <t>목표 ID, 다음 체크포인트, 기대·실제 진도, 지연 일수</t>
        </is>
      </c>
      <c r="I7" s="54" t="n"/>
      <c r="J7" s="56" t="inlineStr">
        <is>
          <t>Must</t>
        </is>
      </c>
      <c r="K7" s="54" t="inlineStr">
        <is>
          <t>판정 유보 중이면 회색으로 '집계 중' 표시 / 체크포인트가 없는 목표는 D-day만 표시</t>
        </is>
      </c>
      <c r="L7" s="54" t="n"/>
      <c r="M7" s="54" t="inlineStr">
        <is>
          <t>회원</t>
        </is>
      </c>
      <c r="N7" s="54" t="inlineStr">
        <is>
          <t>FR-PACE-02 결과 표시</t>
        </is>
      </c>
    </row>
    <row r="8" ht="45.75" customHeight="1" s="44">
      <c r="A8" s="54" t="inlineStr">
        <is>
          <t>FR-MAIN-05</t>
        </is>
      </c>
      <c r="B8" s="74" t="n"/>
      <c r="C8" s="54" t="inlineStr">
        <is>
          <t>본문</t>
        </is>
      </c>
      <c r="D8" s="54" t="inlineStr">
        <is>
          <t>추천 공모전 배너</t>
        </is>
      </c>
      <c r="E8" s="54" t="inlineStr">
        <is>
          <t>이번 주 추천 공모전을 대시보드에서 바로 본다</t>
        </is>
      </c>
      <c r="F8" s="54" t="inlineStr">
        <is>
          <t>주 1회 갱신되는 추천 3건을 카드로 표시</t>
        </is>
      </c>
      <c r="G8" s="54" t="inlineStr">
        <is>
          <t>마감 D-day 순 정렬 / 클릭 시 공모전 상세로 이동</t>
        </is>
      </c>
      <c r="H8" s="54" t="inlineStr">
        <is>
          <t>회원 ID, 공고 ID, 제목, 마감일, 추천 점수</t>
        </is>
      </c>
      <c r="I8" s="54" t="inlineStr">
        <is>
          <t>RAG</t>
        </is>
      </c>
      <c r="J8" s="56" t="inlineStr">
        <is>
          <t>Should</t>
        </is>
      </c>
      <c r="K8" s="54" t="inlineStr">
        <is>
          <t>추천 결과가 없으면 배너 영역 자체를 숨김 / 마감이 지난 공고는 표시 제외</t>
        </is>
      </c>
      <c r="L8" s="54" t="n"/>
      <c r="M8" s="54" t="inlineStr">
        <is>
          <t>회원</t>
        </is>
      </c>
      <c r="N8" s="54" t="inlineStr">
        <is>
          <t>FR-CONT-04 결과 재사용</t>
        </is>
      </c>
    </row>
    <row r="9" ht="45.75" customHeight="1" s="44">
      <c r="A9" s="54" t="inlineStr">
        <is>
          <t>FR-UI-01</t>
        </is>
      </c>
      <c r="B9" s="74" t="n"/>
      <c r="C9" s="54" t="inlineStr">
        <is>
          <t>본문</t>
        </is>
      </c>
      <c r="D9" s="54" t="inlineStr">
        <is>
          <t>적응형 테마</t>
        </is>
      </c>
      <c r="E9" s="54" t="inlineStr">
        <is>
          <t>학습량에 따라 화면 테마가 달라진다</t>
        </is>
      </c>
      <c r="F9" s="54" t="inlineStr">
        <is>
          <t>레벨·스트릭 구간에 따라 테마 프리셋 전환</t>
        </is>
      </c>
      <c r="G9" s="54" t="inlineStr">
        <is>
          <t>레벨 5단계 / 스트릭 3·7·14·30일 구간 / 전환 시 안내 토스트 1회</t>
        </is>
      </c>
      <c r="H9" s="54" t="inlineStr">
        <is>
          <t>회원 ID, 누적 학습시간, 연속 학습일, 레벨</t>
        </is>
      </c>
      <c r="I9" s="54" t="n"/>
      <c r="J9" s="56" t="inlineStr">
        <is>
          <t>Must</t>
        </is>
      </c>
      <c r="K9" s="54" t="inlineStr">
        <is>
          <t>집계 서버 응답 실패 시 직전 레벨 테마를 유지하고 재시도 / 사용자가 '테마 고정'을 켜면 적응 중단</t>
        </is>
      </c>
      <c r="L9" s="54" t="inlineStr">
        <is>
          <t>색약 사용자를 위해 명도 대비는 레벨과 무관하게 유지할지 논의 필요</t>
        </is>
      </c>
      <c r="M9" s="54" t="inlineStr">
        <is>
          <t>회원</t>
        </is>
      </c>
      <c r="N9" s="54" t="inlineStr">
        <is>
          <t>파이프라인 3</t>
        </is>
      </c>
    </row>
    <row r="10" ht="45.75" customHeight="1" s="44">
      <c r="A10" s="54" t="inlineStr">
        <is>
          <t>FR-UI-02</t>
        </is>
      </c>
      <c r="B10" s="74" t="n"/>
      <c r="C10" s="54" t="inlineStr">
        <is>
          <t>본문</t>
        </is>
      </c>
      <c r="D10" s="54" t="inlineStr">
        <is>
          <t>정보 밀도 조절</t>
        </is>
      </c>
      <c r="E10" s="54" t="inlineStr">
        <is>
          <t>학습량이 많을수록 더 촘촘한 화면을 본다</t>
        </is>
      </c>
      <c r="F10" s="54" t="inlineStr">
        <is>
          <t>레벨에 따라 카드 밀도와 표시 항목 수 조정</t>
        </is>
      </c>
      <c r="G10" s="54" t="inlineStr">
        <is>
          <t>레벨 1~2는 요약형, 4~5는 상세형</t>
        </is>
      </c>
      <c r="H10" s="54" t="inlineStr">
        <is>
          <t>회원 ID, 레벨</t>
        </is>
      </c>
      <c r="I10" s="54" t="n"/>
      <c r="J10" s="56" t="inlineStr">
        <is>
          <t>Should</t>
        </is>
      </c>
      <c r="K10" s="54" t="inlineStr">
        <is>
          <t>마이페이지에서 밀도 수동 고정 가능 / 수동 설정이 자동 조절보다 우선</t>
        </is>
      </c>
      <c r="L10" s="54" t="n"/>
      <c r="M10" s="54" t="inlineStr">
        <is>
          <t>회원</t>
        </is>
      </c>
      <c r="N10" s="54" t="n"/>
    </row>
    <row r="11" ht="45.75" customHeight="1" s="44">
      <c r="A11" s="54" t="inlineStr">
        <is>
          <t>FR-MAIN-06</t>
        </is>
      </c>
      <c r="B11" s="75" t="n"/>
      <c r="C11" s="54" t="inlineStr">
        <is>
          <t>바닥글</t>
        </is>
      </c>
      <c r="D11" s="54" t="inlineStr">
        <is>
          <t>개인정보처리방침</t>
        </is>
      </c>
      <c r="E11" s="54" t="inlineStr">
        <is>
          <t>개인정보 처리방침을 확인한다</t>
        </is>
      </c>
      <c r="F11" s="54" t="inlineStr">
        <is>
          <t>클릭 시 방침 페이지로 이동</t>
        </is>
      </c>
      <c r="G11" s="54" t="inlineStr">
        <is>
          <t>수집 항목·보관 기간·파기 방법 명시</t>
        </is>
      </c>
      <c r="H11" s="54" t="inlineStr">
        <is>
          <t>정책 페이지 링크</t>
        </is>
      </c>
      <c r="I11" s="54" t="n"/>
      <c r="J11" s="56" t="inlineStr">
        <is>
          <t>Must</t>
        </is>
      </c>
      <c r="K11" s="54" t="inlineStr">
        <is>
          <t>캘린더 연동으로 읽는 일정 정보의 범위(시간대만 사용)를 별도 문단으로 고지</t>
        </is>
      </c>
      <c r="L11" s="54" t="inlineStr">
        <is>
          <t>제출 전 문구 검토 필요</t>
        </is>
      </c>
      <c r="M11" s="54" t="inlineStr">
        <is>
          <t>비회원</t>
        </is>
      </c>
      <c r="N11" s="54" t="inlineStr">
        <is>
          <t>NFR-PRIV-01</t>
        </is>
      </c>
    </row>
    <row r="12" ht="45.75" customHeight="1" s="44">
      <c r="A12" s="54" t="inlineStr">
        <is>
          <t>FR-AUTH-01</t>
        </is>
      </c>
      <c r="B12" s="73" t="inlineStr">
        <is>
          <t>로그인 페이지</t>
        </is>
      </c>
      <c r="C12" s="54" t="inlineStr">
        <is>
          <t>로그인</t>
        </is>
      </c>
      <c r="D12" s="54" t="inlineStr">
        <is>
          <t>이메일 로그인</t>
        </is>
      </c>
      <c r="E12" s="54" t="inlineStr">
        <is>
          <t>이메일과 비밀번호로 로그인한다</t>
        </is>
      </c>
      <c r="F12" s="54" t="inlineStr">
        <is>
          <t>입력 후 로그인 버튼 클릭 시 인증</t>
        </is>
      </c>
      <c r="G12" s="54" t="inlineStr">
        <is>
          <t>이메일 형식 검증 / 비밀번호는 길이만 검증하고 조합 규칙은 안내하지 않음</t>
        </is>
      </c>
      <c r="H12" s="54" t="inlineStr">
        <is>
          <t>이메일, 비밀번호 해시</t>
        </is>
      </c>
      <c r="I12" s="54" t="n"/>
      <c r="J12" s="56" t="inlineStr">
        <is>
          <t>Must</t>
        </is>
      </c>
      <c r="K12" s="54" t="inlineStr">
        <is>
          <t>5회 연속 실패 시 60초 잠금 / 실패 사유를 '아이디 또는 비밀번호가 올바르지 않습니다'로 통일(계정 존재 여부 노출 방지) / 로그인 화면에 비밀번호 조합 규칙을 노출하지 않음(정책 힌트 제공 방지)</t>
        </is>
      </c>
      <c r="L12" s="54" t="n"/>
      <c r="M12" s="54" t="inlineStr">
        <is>
          <t>비회원</t>
        </is>
      </c>
      <c r="N12" s="54" t="inlineStr">
        <is>
          <t>NFR-SEC-01</t>
        </is>
      </c>
    </row>
    <row r="13" ht="45.75" customHeight="1" s="44">
      <c r="A13" s="54" t="inlineStr">
        <is>
          <t>FR-AUTH-02</t>
        </is>
      </c>
      <c r="B13" s="74" t="n"/>
      <c r="C13" s="54" t="inlineStr">
        <is>
          <t>로그인</t>
        </is>
      </c>
      <c r="D13" s="54" t="inlineStr">
        <is>
          <t>구글 로그인</t>
        </is>
      </c>
      <c r="E13" s="54" t="inlineStr">
        <is>
          <t>구글 계정으로 로그인한다</t>
        </is>
      </c>
      <c r="F13" s="54" t="inlineStr">
        <is>
          <t>구글 OAuth 인증 후 세션 생성</t>
        </is>
      </c>
      <c r="G13" s="54" t="inlineStr">
        <is>
          <t>캘린더 권한은 이 단계에서 요구하지 않고 온보딩에서 별도 요청</t>
        </is>
      </c>
      <c r="H13" s="54" t="inlineStr">
        <is>
          <t>구글 계정 ID, 이메일, 리프레시 토큰</t>
        </is>
      </c>
      <c r="I13" s="54" t="n"/>
      <c r="J13" s="56" t="inlineStr">
        <is>
          <t>Should</t>
        </is>
      </c>
      <c r="K13" s="54" t="inlineStr">
        <is>
          <t>인증 취소 시 로그인 화면으로 복귀 / 동일 이메일의 자체 가입 계정이 있으면 계정 연결 안내</t>
        </is>
      </c>
      <c r="L13" s="54" t="n"/>
      <c r="M13" s="54" t="inlineStr">
        <is>
          <t>비회원</t>
        </is>
      </c>
      <c r="N13" s="54" t="inlineStr">
        <is>
          <t>FR-PLAN-01의 전제</t>
        </is>
      </c>
    </row>
    <row r="14" ht="45.75" customHeight="1" s="44">
      <c r="A14" s="54" t="inlineStr">
        <is>
          <t>FR-AUTH-03</t>
        </is>
      </c>
      <c r="B14" s="75" t="n"/>
      <c r="C14" s="54" t="inlineStr">
        <is>
          <t>계정찾기</t>
        </is>
      </c>
      <c r="D14" s="54" t="inlineStr">
        <is>
          <t>비밀번호 재설정</t>
        </is>
      </c>
      <c r="E14" s="54" t="inlineStr">
        <is>
          <t>이메일 인증으로 비밀번호를 재설정한다</t>
        </is>
      </c>
      <c r="F14" s="54" t="inlineStr">
        <is>
          <t>이메일 입력 후 인증 메일 발송</t>
        </is>
      </c>
      <c r="G14" s="54" t="inlineStr">
        <is>
          <t>인증 링크 유효시간 30분 / 새 비밀번호는 FR-JOIN-01과 동일한 조합 규칙 적용</t>
        </is>
      </c>
      <c r="H14" s="54" t="inlineStr">
        <is>
          <t>이메일, 인증 토큰</t>
        </is>
      </c>
      <c r="I14" s="54" t="n"/>
      <c r="J14" s="56" t="inlineStr">
        <is>
          <t>Should</t>
        </is>
      </c>
      <c r="K14" s="54" t="inlineStr">
        <is>
          <t>가입되지 않은 이메일도 동일한 안내 문구 노출(계정 존재 여부 노출 방지) / 직전 비밀번호와 동일한 값은 거부 / 재설정 완료 시 기존 세션 전체 만료</t>
        </is>
      </c>
      <c r="L14" s="54" t="n"/>
      <c r="M14" s="54" t="inlineStr">
        <is>
          <t>비회원</t>
        </is>
      </c>
      <c r="N14" s="54" t="n"/>
    </row>
    <row r="15" ht="45.75" customHeight="1" s="44">
      <c r="A15" s="54" t="inlineStr">
        <is>
          <t>FR-JOIN-01</t>
        </is>
      </c>
      <c r="B15" s="73" t="inlineStr">
        <is>
          <t>회원가입 페이지</t>
        </is>
      </c>
      <c r="C15" s="54" t="inlineStr">
        <is>
          <t>회원가입</t>
        </is>
      </c>
      <c r="D15" s="54" t="inlineStr">
        <is>
          <t>정보 입력</t>
        </is>
      </c>
      <c r="E15" s="54" t="inlineStr">
        <is>
          <t>이메일·비밀번호·닉네임으로 가입한다</t>
        </is>
      </c>
      <c r="F15" s="54" t="inlineStr">
        <is>
          <t>입력 후 가입 버튼 클릭</t>
        </is>
      </c>
      <c r="G15" s="54" t="inlineStr">
        <is>
          <t>이메일 중복 확인 / 비밀번호 8~64자, 영문·숫자·특수문자(!@#$%^&amp;*()-_=+ 등)를 각 1자 이상 포함 / 닉네임 2~10자</t>
        </is>
      </c>
      <c r="H15" s="54" t="inlineStr">
        <is>
          <t>이메일, 비밀번호, 닉네임</t>
        </is>
      </c>
      <c r="I15" s="54" t="n"/>
      <c r="J15" s="56" t="inlineStr">
        <is>
          <t>Must</t>
        </is>
      </c>
      <c r="K15" s="54" t="inlineStr">
        <is>
          <t>충족하지 못한 조건을 입력 중 실시간으로 표시하고 모두 충족해야 가입 버튼 활성화 / 이메일·닉네임을 포함한 비밀번호와 자주 쓰이는 비밀번호 목록(상위 1만 건)은 거부 / 중복 이메일이면 '이미 가입된 이메일입니다' / 비밀번호 해싱·저장은 Supabase Auth가 처리 / (10-12) 가입 후 '인증 메일을 보냈어요' 안내 화면과 인증 메일 다시 보내기 · 인증 전 로그인은 '인증이 남았다'고 안내</t>
        </is>
      </c>
      <c r="L15" s="54" t="inlineStr">
        <is>
          <t>특수문자 허용 범위를 화면에 명시해야 입력 실패가 줄어듦</t>
        </is>
      </c>
      <c r="M15" s="54" t="inlineStr">
        <is>
          <t>비회원</t>
        </is>
      </c>
      <c r="N15" s="54" t="inlineStr">
        <is>
          <t>NFR-SEC-03</t>
        </is>
      </c>
    </row>
    <row r="16" ht="45.75" customHeight="1" s="44">
      <c r="A16" s="54" t="inlineStr">
        <is>
          <t>FR-JOIN-02</t>
        </is>
      </c>
      <c r="B16" s="74" t="n"/>
      <c r="C16" s="54" t="inlineStr">
        <is>
          <t>회원가입</t>
        </is>
      </c>
      <c r="D16" s="54" t="inlineStr">
        <is>
          <t>개인정보 수집 동의</t>
        </is>
      </c>
      <c r="E16" s="54" t="inlineStr">
        <is>
          <t>수집 항목을 고지받고 동의한다</t>
        </is>
      </c>
      <c r="F16" s="54" t="inlineStr">
        <is>
          <t>체크박스로 필수/선택 동의</t>
        </is>
      </c>
      <c r="G16" s="54" t="inlineStr">
        <is>
          <t>필수(이메일·학습 이력·캘린더 시간대) / 선택(알림 메일 수신)</t>
        </is>
      </c>
      <c r="H16" s="54" t="inlineStr">
        <is>
          <t>동의 여부, 동의 일시</t>
        </is>
      </c>
      <c r="I16" s="54" t="n"/>
      <c r="J16" s="56" t="inlineStr">
        <is>
          <t>Must</t>
        </is>
      </c>
      <c r="K16" s="54" t="inlineStr">
        <is>
          <t>필수 항목 미동의 시 가입 버튼 비활성화 / 동의 일시를 DB에 기록</t>
        </is>
      </c>
      <c r="L16" s="54" t="n"/>
      <c r="M16" s="54" t="inlineStr">
        <is>
          <t>비회원</t>
        </is>
      </c>
      <c r="N16" s="54" t="inlineStr">
        <is>
          <t>NFR-PRIV-01</t>
        </is>
      </c>
    </row>
    <row r="17" ht="45.75" customHeight="1" s="44">
      <c r="A17" s="54" t="inlineStr">
        <is>
          <t>FR-JOIN-03</t>
        </is>
      </c>
      <c r="B17" s="75" t="n"/>
      <c r="C17" s="54" t="inlineStr">
        <is>
          <t>회원가입</t>
        </is>
      </c>
      <c r="D17" s="54" t="inlineStr">
        <is>
          <t>AI 이용 고지</t>
        </is>
      </c>
      <c r="E17" s="54" t="inlineStr">
        <is>
          <t>AI가 목표·일정을 생성함을 가입 단계에서 고지받는다</t>
        </is>
      </c>
      <c r="F17" s="54" t="inlineStr">
        <is>
          <t>안내 문구와 필수 체크박스 제공</t>
        </is>
      </c>
      <c r="G17" s="54" t="inlineStr">
        <is>
          <t>'추천 목표와 학습 일정은 AI가 생성하며 부정확할 수 있습니다' 문구 표시</t>
        </is>
      </c>
      <c r="H17" s="54" t="inlineStr">
        <is>
          <t>동의 여부, 동의 일시</t>
        </is>
      </c>
      <c r="I17" s="54" t="n"/>
      <c r="J17" s="56" t="inlineStr">
        <is>
          <t>Must</t>
        </is>
      </c>
      <c r="K17" s="54" t="inlineStr">
        <is>
          <t>미동의 시 가입 불가 / 고지 문구가 바뀌면 다음 로그인 시 재동의 요청</t>
        </is>
      </c>
      <c r="L17" s="54" t="n"/>
      <c r="M17" s="54" t="inlineStr">
        <is>
          <t>비회원</t>
        </is>
      </c>
      <c r="N17" s="54" t="inlineStr">
        <is>
          <t>NFR-ETHIC-01</t>
        </is>
      </c>
    </row>
    <row r="18" ht="45.75" customHeight="1" s="44">
      <c r="A18" s="54" t="inlineStr">
        <is>
          <t>FR-GOAL-01</t>
        </is>
      </c>
      <c r="B18" s="73" t="inlineStr">
        <is>
          <t>온보딩(목표 탐색)</t>
        </is>
      </c>
      <c r="C18" s="54" t="inlineStr">
        <is>
          <t>목표 탐색</t>
        </is>
      </c>
      <c r="D18" s="54" t="inlineStr">
        <is>
          <t>관심분야 입력</t>
        </is>
      </c>
      <c r="E18" s="54" t="inlineStr">
        <is>
          <t>관심 있는 분야를 입력하거나 건너뛰고 목표를 탐색한다</t>
        </is>
      </c>
      <c r="F18" s="54" t="inlineStr">
        <is>
          <t>태그 선택 또는 자유 입력 후 다음 단계로 이동, 입력 없이 '건너뛰기'도 가능</t>
        </is>
      </c>
      <c r="G18" s="54" t="inlineStr">
        <is>
          <t>태그 최대 5개 / 자유 입력 100자 / 입력 없이도 다음 단계 진행 가능</t>
        </is>
      </c>
      <c r="H18" s="54" t="inlineStr">
        <is>
          <t>회원 ID, 관심 태그, 자유 입력 텍스트</t>
        </is>
      </c>
      <c r="I18" s="54" t="n"/>
      <c r="J18" s="56" t="inlineStr">
        <is>
          <t>Must</t>
        </is>
      </c>
      <c r="K18" s="54" t="inlineStr">
        <is>
          <t>입력이 0건이면 FR-GOAL-11의 유사 분야 추천 경로로 진행 / 자유 입력만 있으면 태그로 정규화한 뒤 진행 / 비회원 입력값은 브라우저 세션에만 보관하고 서버에 저장하지 않음</t>
        </is>
      </c>
      <c r="L18" s="54" t="n"/>
      <c r="M18" s="54" t="inlineStr">
        <is>
          <t>비회원</t>
        </is>
      </c>
      <c r="N18" s="54" t="inlineStr">
        <is>
          <t>파이프라인 0 진입점</t>
        </is>
      </c>
    </row>
    <row r="19" ht="45.75" customHeight="1" s="44">
      <c r="A19" s="54" t="inlineStr">
        <is>
          <t>FR-GOAL-11</t>
        </is>
      </c>
      <c r="B19" s="74" t="n"/>
      <c r="C19" s="54" t="inlineStr">
        <is>
          <t>목표 탐색</t>
        </is>
      </c>
      <c r="D19" s="54" t="inlineStr">
        <is>
          <t>유사 분야 추천</t>
        </is>
      </c>
      <c r="E19" s="54" t="inlineStr">
        <is>
          <t>관심분야를 안 적어도 비슷한 분야를 추천받는다</t>
        </is>
      </c>
      <c r="F19" s="54" t="inlineStr">
        <is>
          <t>최근 학습·조회 이력에서 분야 태그를 뽑아 유사 분야를 제시</t>
        </is>
      </c>
      <c r="G19" s="54" t="inlineStr">
        <is>
          <t>회원은 진행 중·최근 종료 목표와 완료한 학습 단위의 태그, 비회원은 이번 세션에서 조회한 공모전 분야를 사용 / 유사 분야 3~5개를 태그 형태로 제시하고 선택 시 FR-GOAL-03의 쿼리로 사용</t>
        </is>
      </c>
      <c r="H19" s="54" t="inlineStr">
        <is>
          <t>회원 ID 또는 세션 키, 최근 목표 태그, 완료 학습 단위 태그, 조회 공고 분야</t>
        </is>
      </c>
      <c r="I19" s="54" t="inlineStr">
        <is>
          <t>RAG</t>
        </is>
      </c>
      <c r="J19" s="56" t="inlineStr">
        <is>
          <t>Must</t>
        </is>
      </c>
      <c r="K19" s="54" t="inlineStr">
        <is>
          <t>이력이 전혀 없으면 추천을 만들지 않고 분야별 인기 목표 목록으로 대체 / 추천 태그에는 '이런 분야는 어떠세요'처럼 확정이 아닌 제안임을 표시 / 종료된 지 12개월이 지난 목표의 태그는 제외</t>
        </is>
      </c>
      <c r="L19" s="54" t="inlineStr">
        <is>
          <t>이력이 없는 첫 방문 비회원이 가장 흔한 경우라 인기 목록 품질이 사실상 기본 경험이 됨</t>
        </is>
      </c>
      <c r="M19" s="54" t="inlineStr">
        <is>
          <t>비회원</t>
        </is>
      </c>
      <c r="N19" s="54" t="inlineStr">
        <is>
          <t>콜드스타트 대응</t>
        </is>
      </c>
    </row>
    <row r="20" ht="45.75" customHeight="1" s="44">
      <c r="A20" s="54" t="inlineStr">
        <is>
          <t>FR-GOAL-02</t>
        </is>
      </c>
      <c r="B20" s="74" t="n"/>
      <c r="C20" s="54" t="inlineStr">
        <is>
          <t>목표 탐색</t>
        </is>
      </c>
      <c r="D20" s="54" t="inlineStr">
        <is>
          <t>가용 시간 입력</t>
        </is>
      </c>
      <c r="E20" s="54" t="inlineStr">
        <is>
          <t>주간 공부 가능 시간을 입력한다</t>
        </is>
      </c>
      <c r="F20" s="54" t="inlineStr">
        <is>
          <t>요일별 시간대를 드래그로 선택</t>
        </is>
      </c>
      <c r="G20" s="54" t="inlineStr">
        <is>
          <t>30분 단위 / 주 3시간 이상 권장 / 회원이 캘린더를 연동한 경우 초기값 자동 채움</t>
        </is>
      </c>
      <c r="H20" s="54" t="inlineStr">
        <is>
          <t>회원 ID, 요일, 시작·종료 시각</t>
        </is>
      </c>
      <c r="I20" s="54" t="n"/>
      <c r="J20" s="56" t="inlineStr">
        <is>
          <t>Must</t>
        </is>
      </c>
      <c r="K20" s="54" t="inlineStr">
        <is>
          <t>주 3시간 미만이면 경고 후 진행 여부를 확인 / 비회원은 캘린더 연동 없이 수동 입력만 사용하고 값은 세션에만 보관</t>
        </is>
      </c>
      <c r="L20" s="54" t="n"/>
      <c r="M20" s="54" t="inlineStr">
        <is>
          <t>비회원</t>
        </is>
      </c>
      <c r="N20" s="54" t="n"/>
    </row>
    <row r="21" ht="45.75" customHeight="1" s="44">
      <c r="A21" s="54" t="inlineStr">
        <is>
          <t>FR-GOAL-03</t>
        </is>
      </c>
      <c r="B21" s="74" t="n"/>
      <c r="C21" s="54" t="inlineStr">
        <is>
          <t>목표 탐색</t>
        </is>
      </c>
      <c r="D21" s="54" t="inlineStr">
        <is>
          <t>목표 후보 매칭</t>
        </is>
      </c>
      <c r="E21" s="54" t="inlineStr">
        <is>
          <t>관심분야에 맞는 자격증·공모전 후보를 받는다</t>
        </is>
      </c>
      <c r="F21" s="54" t="inlineStr">
        <is>
          <t>관심 태그 또는 대체 쿼리와 목표 카탈로그 문서를 Claude(Haiku)에 넣어 의미 관련성(0~1)으로 유사 후보 검색 (09-29 변경: 임베딩 미사용, Claude 관련성 판단)</t>
        </is>
      </c>
      <c r="G21" s="54" t="inlineStr">
        <is>
          <t>검색 쿼리 우선순위 ① 입력한 관심 태그 ② 진행 중·최근 목표의 분야 태그(회원) ③ 최근 조회한 공모전 분야(비회원) / 후보 최대 20건</t>
        </is>
      </c>
      <c r="H21" s="54" t="inlineStr">
        <is>
          <t>관심 태그, 목표 카탈로그(자격증·공모전), Claude 관련성 점수</t>
        </is>
      </c>
      <c r="I21" s="54" t="inlineStr">
        <is>
          <t>RAG</t>
        </is>
      </c>
      <c r="J21" s="56" t="inlineStr">
        <is>
          <t>Must</t>
        </is>
      </c>
      <c r="K21" s="54" t="inlineStr">
        <is>
          <t>①~③이 모두 없으면 검색 대신 분야별 인기 목표 목록을 제시하고 '추천이 아닌 인기 목록'임을 표시 / 최고 관련성 0.60 미만이면 후보를 넘기지 않고 관심분야 입력 또는 인기 목록을 안내 / 검색 5초 타임아웃·키 없음·응답 검증 실패(카탈로그에 없는 ID, 0~1 밖 점수) 시 태그 겹침 검색으로 대체</t>
        </is>
      </c>
      <c r="L21" s="54" t="n"/>
      <c r="M21" s="54" t="inlineStr">
        <is>
          <t>비회원</t>
        </is>
      </c>
      <c r="N21" s="54" t="inlineStr">
        <is>
          <t>AI기능명세 ③ 참조</t>
        </is>
      </c>
    </row>
    <row r="22" ht="45.75" customHeight="1" s="44">
      <c r="A22" s="54" t="inlineStr">
        <is>
          <t>FR-GOAL-04</t>
        </is>
      </c>
      <c r="B22" s="74" t="n"/>
      <c r="C22" s="54" t="inlineStr">
        <is>
          <t>목표 탐색</t>
        </is>
      </c>
      <c r="D22" s="54" t="inlineStr">
        <is>
          <t>기간 적합성 판정</t>
        </is>
      </c>
      <c r="E22" s="54" t="inlineStr">
        <is>
          <t>가용 시간으로 달성 가능한 목표만 남는다</t>
        </is>
      </c>
      <c r="F22" s="54" t="inlineStr">
        <is>
          <t>후보별 표준 학습시간과 주간 가용시간을 대조해 필터링</t>
        </is>
      </c>
      <c r="G22" s="54" t="inlineStr">
        <is>
          <t>달성 예상 주차 = 표준 학습시간 ÷ 주간 가용시간 / 시험일·마감일 초과 후보는 제외</t>
        </is>
      </c>
      <c r="H22" s="54" t="inlineStr">
        <is>
          <t>후보 ID, 표준 학습시간, 주간 가용시간, 시험일·마감일</t>
        </is>
      </c>
      <c r="I22" s="54" t="n"/>
      <c r="J22" s="56" t="inlineStr">
        <is>
          <t>Must</t>
        </is>
      </c>
      <c r="K22" s="54" t="inlineStr">
        <is>
          <t>모든 후보가 기한을 초과하면 '기간 늘리기 / 목표 범위 줄이기' 두 선택지를 제시 / 표준 학습시간이 없는 후보는 카탈로그 중앙값으로 대체하고 추정치임을 표시</t>
        </is>
      </c>
      <c r="L22" s="54" t="n"/>
      <c r="M22" s="54" t="inlineStr">
        <is>
          <t>비회원</t>
        </is>
      </c>
      <c r="N22" s="54" t="inlineStr">
        <is>
          <t>LLM 미사용, 결정론적 계산</t>
        </is>
      </c>
    </row>
    <row r="23" ht="45.75" customHeight="1" s="44">
      <c r="A23" s="54" t="inlineStr">
        <is>
          <t>FR-GOAL-09</t>
        </is>
      </c>
      <c r="B23" s="74" t="n"/>
      <c r="C23" s="54" t="inlineStr">
        <is>
          <t>목표 탐색</t>
        </is>
      </c>
      <c r="D23" s="54" t="inlineStr">
        <is>
          <t>최소 필요 기간 산정</t>
        </is>
      </c>
      <c r="E23" s="54" t="inlineStr">
        <is>
          <t>이 목표에 최소 몇 주가 필요한지 안내받는다</t>
        </is>
      </c>
      <c r="F23" s="54" t="inlineStr">
        <is>
          <t>후보별 최소 기간과 권장 기간을 함께 표시</t>
        </is>
      </c>
      <c r="G23" s="54" t="inlineStr">
        <is>
          <t>최소 기간 = 표준 학습시간 ÷ 주당 최대 투입 가능 시간 / 권장 기간 = 최소 기간 × 1.3(복습·이탈 여유)</t>
        </is>
      </c>
      <c r="H23" s="54" t="inlineStr">
        <is>
          <t>후보 ID, 표준 학습시간, 주당 가용시간, 주당 최대 투입 시간, 최소·권장 주차</t>
        </is>
      </c>
      <c r="I23" s="54" t="n"/>
      <c r="J23" s="56" t="inlineStr">
        <is>
          <t>Must</t>
        </is>
      </c>
      <c r="K23" s="54" t="inlineStr">
        <is>
          <t>표준 학습시간이 없는 후보는 카탈로그 중앙값으로 계산하고 '추정' 표시 / 시험일이 고정된 자격증은 다음 회차 시험일을 기준으로 계산해 함께 안내</t>
        </is>
      </c>
      <c r="L23" s="54" t="inlineStr">
        <is>
          <t>주당 최대 투입 시간은 가용시간의 80%로 볼지 100%로 볼지 확정 필요</t>
        </is>
      </c>
      <c r="M23" s="54" t="inlineStr">
        <is>
          <t>비회원</t>
        </is>
      </c>
      <c r="N23" s="54" t="inlineStr">
        <is>
          <t>FR-GOAL-04와 같은 계산 모듈 사용</t>
        </is>
      </c>
    </row>
    <row r="24" ht="45.75" customHeight="1" s="44">
      <c r="A24" s="54" t="inlineStr">
        <is>
          <t>FR-GOAL-05</t>
        </is>
      </c>
      <c r="B24" s="74" t="n"/>
      <c r="C24" s="54" t="inlineStr">
        <is>
          <t>목표 탐색</t>
        </is>
      </c>
      <c r="D24" s="54" t="inlineStr">
        <is>
          <t>목표 추천 카드</t>
        </is>
      </c>
      <c r="E24" s="54" t="inlineStr">
        <is>
          <t>추천 목표 3~5개를 이유와 함께 받는다</t>
        </is>
      </c>
      <c r="F24" s="54" t="inlineStr">
        <is>
          <t>목표명·예상 기간·주당 필요시간·추천 이유를 카드로 표시</t>
        </is>
      </c>
      <c r="G24" s="54" t="inlineStr">
        <is>
          <t>추천 이유는 2문장 이내 / 카드마다 'AI 추천' 배지와 부정확 가능성 고지 문구 표시(비회원 화면에도 동일 적용)</t>
        </is>
      </c>
      <c r="H24" s="54" t="inlineStr">
        <is>
          <t>목표 ID, 예상 기간, 주당 필요시간, 추천 이유 텍스트</t>
        </is>
      </c>
      <c r="I24" s="54" t="inlineStr">
        <is>
          <t>RAG</t>
        </is>
      </c>
      <c r="J24" s="56" t="inlineStr">
        <is>
          <t>Must</t>
        </is>
      </c>
      <c r="K24" s="54" t="inlineStr">
        <is>
          <t>적합 후보가 3개 미만이면 있는 만큼만 노출하고 직접 입력을 함께 제안 / 이유 생성 20초 타임아웃 시 이유 없이 카드만 표시 / 가입 전 화면이므로 고지 문구를 FR-JOIN-03 동의와 별개로 상시 노출</t>
        </is>
      </c>
      <c r="L24" s="54" t="n"/>
      <c r="M24" s="54" t="inlineStr">
        <is>
          <t>비회원</t>
        </is>
      </c>
      <c r="N24" s="54" t="inlineStr">
        <is>
          <t>NFR-ETHIC-01</t>
        </is>
      </c>
    </row>
    <row r="25" ht="45.75" customHeight="1" s="44">
      <c r="A25" s="54" t="inlineStr">
        <is>
          <t>FR-GOAL-06</t>
        </is>
      </c>
      <c r="B25" s="74" t="n"/>
      <c r="C25" s="54" t="inlineStr">
        <is>
          <t>목표 설정</t>
        </is>
      </c>
      <c r="D25" s="54" t="inlineStr">
        <is>
          <t>목표 직접 입력</t>
        </is>
      </c>
      <c r="E25" s="54" t="inlineStr">
        <is>
          <t>추천을 쓰지 않고 목표를 직접 등록한다</t>
        </is>
      </c>
      <c r="F25" s="54" t="inlineStr">
        <is>
          <t>목표명·기한·주당 목표 시간을 입력</t>
        </is>
      </c>
      <c r="G25" s="54" t="inlineStr">
        <is>
          <t>목표명 2~40자 / 기한은 오늘 이후 날짜만 선택 가능</t>
        </is>
      </c>
      <c r="H25" s="54" t="inlineStr">
        <is>
          <t>회원 ID, 목표명, 기한, 주당 목표 시간</t>
        </is>
      </c>
      <c r="I25" s="54" t="n"/>
      <c r="J25" s="56" t="inlineStr">
        <is>
          <t>Should</t>
        </is>
      </c>
      <c r="K25" s="54" t="inlineStr">
        <is>
          <t>카탈로그에 없는 목표는 학습 분해 근거가 적어 추정 비중이 커짐을 안내 / 비회원은 입력까지만 가능하고 저장은 FR-GOAL-07에서 가입 후 처리</t>
        </is>
      </c>
      <c r="L25" s="54" t="n"/>
      <c r="M25" s="54" t="inlineStr">
        <is>
          <t>비회원</t>
        </is>
      </c>
      <c r="N25" s="54" t="inlineStr">
        <is>
          <t>파이프라인 0을 건너뛰는 경로</t>
        </is>
      </c>
    </row>
    <row r="26" ht="45.75" customHeight="1" s="44">
      <c r="A26" s="54" t="inlineStr">
        <is>
          <t>FR-GOAL-10</t>
        </is>
      </c>
      <c r="B26" s="74" t="n"/>
      <c r="C26" s="54" t="inlineStr">
        <is>
          <t>목표 설정</t>
        </is>
      </c>
      <c r="D26" s="54" t="inlineStr">
        <is>
          <t>기한 실현 가능성 경고</t>
        </is>
      </c>
      <c r="E26" s="54" t="inlineStr">
        <is>
          <t>직접 정한 기한이 무리인지 즉시 알려준다</t>
        </is>
      </c>
      <c r="F26" s="54" t="inlineStr">
        <is>
          <t>입력한 기한과 최소 필요 기간을 비교해 경고 표시</t>
        </is>
      </c>
      <c r="G26" s="54" t="inlineStr">
        <is>
          <t>기한 &lt; 최소 기간이면 빨간 경고, 최소~권장 사이면 주의 표시 / 부족한 주당 시간을 함께 계산해 표시</t>
        </is>
      </c>
      <c r="H26" s="54" t="inlineStr">
        <is>
          <t>목표 ID, 입력 기한, 최소·권장 주차, 주당 가용시간</t>
        </is>
      </c>
      <c r="I26" s="54" t="n"/>
      <c r="J26" s="56" t="inlineStr">
        <is>
          <t>Should</t>
        </is>
      </c>
      <c r="K26" s="54" t="inlineStr">
        <is>
          <t>경고 상태에서도 사용자가 강행할 수 있게 하되 '범위 축소·기한 연장·주당 시간 증가' 세 가지 조정안을 함께 제시 / 카탈로그에 없는 목표는 계산 불가를 알리고 경고를 생략</t>
        </is>
      </c>
      <c r="L26" s="54" t="n"/>
      <c r="M26" s="54" t="inlineStr">
        <is>
          <t>비회원</t>
        </is>
      </c>
      <c r="N26" s="54" t="n"/>
    </row>
    <row r="27" ht="45.75" customHeight="1" s="44">
      <c r="A27" s="54" t="inlineStr">
        <is>
          <t>FR-GOAL-07</t>
        </is>
      </c>
      <c r="B27" s="74" t="n"/>
      <c r="C27" s="54" t="inlineStr">
        <is>
          <t>목표 설정</t>
        </is>
      </c>
      <c r="D27" s="54" t="inlineStr">
        <is>
          <t>목표 확정</t>
        </is>
      </c>
      <c r="E27" s="54" t="inlineStr">
        <is>
          <t>선택한 목표를 확정해 일정 생성을 시작한다</t>
        </is>
      </c>
      <c r="F27" s="54" t="inlineStr">
        <is>
          <t>확정 버튼 클릭 시 일정 생성 파이프라인 호출</t>
        </is>
      </c>
      <c r="G27" s="54" t="inlineStr">
        <is>
          <t>동시 진행 목표는 최대 2개</t>
        </is>
      </c>
      <c r="H27" s="54" t="inlineStr">
        <is>
          <t>회원 ID, 목표 ID, 확정 일시</t>
        </is>
      </c>
      <c r="I27" s="54" t="n"/>
      <c r="J27" s="56" t="inlineStr">
        <is>
          <t>Must</t>
        </is>
      </c>
      <c r="K27" s="54" t="inlineStr">
        <is>
          <t>이미 2개가 진행 중이면 기존 목표 종료를 먼저 요구 / 비회원이 확정을 누르면 회원가입으로 이동하고 가입 후 세션의 탐색 결과를 그대로 인계 / 생성 실패 시 목표만 저장하고 '일정 만들기' 재시도 버튼 제공</t>
        </is>
      </c>
      <c r="L27" s="54" t="n"/>
      <c r="M27" s="54" t="inlineStr">
        <is>
          <t>회원</t>
        </is>
      </c>
      <c r="N27" s="54" t="inlineStr">
        <is>
          <t>파이프라인 1 진입점 · 회원 전용 경계선</t>
        </is>
      </c>
    </row>
    <row r="28" ht="45.75" customHeight="1" s="44">
      <c r="A28" s="54" t="inlineStr">
        <is>
          <t>FR-GOAL-08</t>
        </is>
      </c>
      <c r="B28" s="74" t="n"/>
      <c r="C28" s="54" t="inlineStr">
        <is>
          <t>목표 탐색</t>
        </is>
      </c>
      <c r="D28" s="54" t="inlineStr">
        <is>
          <t>추천 피드백</t>
        </is>
      </c>
      <c r="E28" s="54" t="inlineStr">
        <is>
          <t>추천 목표가 맞았는지 평가한다</t>
        </is>
      </c>
      <c r="F28" s="54" t="inlineStr">
        <is>
          <t>카드별 '관심 있음 / 관심 없음' 선택</t>
        </is>
      </c>
      <c r="G28" s="54" t="inlineStr">
        <is>
          <t>관심 없음 선택 시 사유를 선택지로 수집(분야 안 맞음·기간 부담·이미 취득)</t>
        </is>
      </c>
      <c r="H28" s="54" t="inlineStr">
        <is>
          <t>회원 ID, 목표 ID, 평가, 사유</t>
        </is>
      </c>
      <c r="I28" s="54" t="inlineStr">
        <is>
          <t>Memory</t>
        </is>
      </c>
      <c r="J28" s="56" t="inlineStr">
        <is>
          <t>Should</t>
        </is>
      </c>
      <c r="K28" s="54" t="inlineStr">
        <is>
          <t>동일 목표 재추천 시 관심 없음 이력을 반영해 순위 하향 / 비회원 평가는 세션에만 보관하고 서버 저장·학습에 사용하지 않음 / 저장 실패 시 로컬 큐에 보관 후 재전송</t>
        </is>
      </c>
      <c r="L28" s="54" t="inlineStr">
        <is>
          <t>실사용자 테스트 근거 자료로 사용</t>
        </is>
      </c>
      <c r="M28" s="54" t="inlineStr">
        <is>
          <t>비회원</t>
        </is>
      </c>
      <c r="N28" s="54" t="inlineStr">
        <is>
          <t>피드백 수집</t>
        </is>
      </c>
    </row>
    <row r="29" ht="45.75" customHeight="1" s="44">
      <c r="A29" s="54" t="inlineStr">
        <is>
          <t>FR-GOAL-12</t>
        </is>
      </c>
      <c r="B29" s="74" t="n"/>
      <c r="C29" s="54" t="inlineStr">
        <is>
          <t>목표 탐색</t>
        </is>
      </c>
      <c r="D29" s="54" t="inlineStr">
        <is>
          <t>비회원 이용 제한</t>
        </is>
      </c>
      <c r="E29" s="54" t="inlineStr">
        <is>
          <t>비회원도 쓰되 남용은 막는다</t>
        </is>
      </c>
      <c r="F29" s="54" t="inlineStr">
        <is>
          <t>세션·IP 기준으로 AI 추천 호출 횟수를 제한</t>
        </is>
      </c>
      <c r="G29" s="54" t="inlineStr">
        <is>
          <t>목표 탐색은 24시간 기준 3회 / 초과 시 가입 안내 화면 표시 / 자동화 요청이 의심되면 캡차 노출</t>
        </is>
      </c>
      <c r="H29" s="54" t="inlineStr">
        <is>
          <t>세션 키, IP 해시, 호출 횟수, 최초 호출 시각</t>
        </is>
      </c>
      <c r="I29" s="54" t="n"/>
      <c r="J29" s="56" t="inlineStr">
        <is>
          <t>Must</t>
        </is>
      </c>
      <c r="K29" s="54" t="inlineStr">
        <is>
          <t>제한에 걸려도 인기 목표 목록과 공모전 검색(FR-CONT-03)은 계속 사용 가능 / IP는 해시로만 보관하고 24시간 후 파기 / 전체 일일 비용 임계치 도달 시 비회원 추천을 먼저 차단(FR-ADMIN-02와 연동)</t>
        </is>
      </c>
      <c r="L29" s="54" t="inlineStr">
        <is>
          <t>비회원에게 AI 호출을 열어주는 만큼 비용·봇 대응이 함께 필요</t>
        </is>
      </c>
      <c r="M29" s="54" t="inlineStr">
        <is>
          <t>비회원</t>
        </is>
      </c>
      <c r="N29" s="54" t="inlineStr">
        <is>
          <t>NFR-SEC-04</t>
        </is>
      </c>
    </row>
    <row r="30" ht="45.75" customHeight="1" s="44">
      <c r="A30" s="54" t="inlineStr">
        <is>
          <t>FR-GOAL-13</t>
        </is>
      </c>
      <c r="B30" s="75" t="n"/>
      <c r="C30" s="54" t="inlineStr">
        <is>
          <t>목표 탐색</t>
        </is>
      </c>
      <c r="D30" s="54" t="inlineStr">
        <is>
          <t>탐색 결과 이어받기</t>
        </is>
      </c>
      <c r="E30" s="54" t="inlineStr">
        <is>
          <t>가입하면 방금 고른 목표가 그대로 넘어온다</t>
        </is>
      </c>
      <c r="F30" s="54" t="inlineStr">
        <is>
          <t>세션에 담긴 관심 태그·가용시간·선택 목표를 가입 후 계정으로 이전</t>
        </is>
      </c>
      <c r="G30" s="54" t="inlineStr">
        <is>
          <t>이전 대상은 관심 태그, 가용시간, 선택한 목표 후보 / 이전 전에 무엇이 넘어가는지 화면에 목록으로 표시</t>
        </is>
      </c>
      <c r="H30" s="54" t="inlineStr">
        <is>
          <t>세션 키, 관심 태그, 가용시간, 선택 목표 ID, 회원 ID</t>
        </is>
      </c>
      <c r="I30" s="54" t="n"/>
      <c r="J30" s="56" t="inlineStr">
        <is>
          <t>Should</t>
        </is>
      </c>
      <c r="K30" s="54" t="inlineStr">
        <is>
          <t>가입을 완료하지 않으면 세션 종료와 함께 값을 폐기 / 세션 만료(30분) 시 이전하지 않고 온보딩을 처음부터 진행 / 이전 직후 사용자가 값을 수정할 수 있게 확인 화면 제공</t>
        </is>
      </c>
      <c r="L30" s="54" t="n"/>
      <c r="M30" s="54" t="inlineStr">
        <is>
          <t>비회원</t>
        </is>
      </c>
      <c r="N30" s="54" t="inlineStr">
        <is>
          <t>FR-CONT-11과 같은 인계 방식 사용</t>
        </is>
      </c>
    </row>
    <row r="31" ht="45.75" customHeight="1" s="44">
      <c r="A31" s="54" t="inlineStr">
        <is>
          <t>FR-PLAN-01</t>
        </is>
      </c>
      <c r="B31" s="73" t="inlineStr">
        <is>
          <t>일정 페이지</t>
        </is>
      </c>
      <c r="C31" s="54" t="inlineStr">
        <is>
          <t>캘린더</t>
        </is>
      </c>
      <c r="D31" s="54" t="inlineStr">
        <is>
          <t>캘린더 연동</t>
        </is>
      </c>
      <c r="E31" s="54" t="inlineStr">
        <is>
          <t>구글 캘린더를 연동해 빈 시간을 찾는다</t>
        </is>
      </c>
      <c r="F31" s="54" t="inlineStr">
        <is>
          <t>OAuth 동의 후 향후 8주 일정을 읽어 빈 슬롯 추출</t>
        </is>
      </c>
      <c r="G31" s="54" t="inlineStr">
        <is>
          <t>읽기 권한만 요청 / 30분 단위 슬롯 / 종일 일정은 바쁨으로 간주</t>
        </is>
      </c>
      <c r="H31" s="54" t="inlineStr">
        <is>
          <t>회원 ID, 액세스·리프레시 토큰, 일정 시작·종료 시각</t>
        </is>
      </c>
      <c r="I31" s="54" t="n"/>
      <c r="J31" s="56" t="inlineStr">
        <is>
          <t>Must</t>
        </is>
      </c>
      <c r="K31" s="54" t="inlineStr">
        <is>
          <t>일정 페이지는 회원 전용이며 비회원 접근 시 로그인 페이지로 이동 / 연동 거부 시 FR-GOAL-02의 수동 가용시간만으로 생성 / 토큰 만료 시 재연동 배너 노출 / 일정 제목·참석자는 저장하지 않고 시간대만 사용</t>
        </is>
      </c>
      <c r="L31" s="54" t="n"/>
      <c r="M31" s="54" t="inlineStr">
        <is>
          <t>작성자 본인</t>
        </is>
      </c>
      <c r="N31" s="54" t="inlineStr">
        <is>
          <t>NFR-PRIV-01</t>
        </is>
      </c>
    </row>
    <row r="32" ht="45.75" customHeight="1" s="44">
      <c r="A32" s="54" t="inlineStr">
        <is>
          <t>FR-PLAN-02</t>
        </is>
      </c>
      <c r="B32" s="74" t="n"/>
      <c r="C32" s="54" t="inlineStr">
        <is>
          <t>일정 생성</t>
        </is>
      </c>
      <c r="D32" s="54" t="inlineStr">
        <is>
          <t>학습 분해</t>
        </is>
      </c>
      <c r="E32" s="54" t="inlineStr">
        <is>
          <t>목표가 학습 단위로 잘게 나뉜다</t>
        </is>
      </c>
      <c r="F32" s="54" t="inlineStr">
        <is>
          <t>에이전트가 목표를 단원·과제 단위로 분해하고 소요시간을 추정</t>
        </is>
      </c>
      <c r="G32" s="54" t="inlineStr">
        <is>
          <t>단위(주제)당 30~600분 — 120분이 넘으면 배치 때 120분 이하 블록 여러 개로 나눔 / 카탈로그 표준 학습시간이 있으면 단위 합을 그에 맞춤 / 선후 관계 표시 / 결과는 고정 JSON 스키마로 반환</t>
        </is>
      </c>
      <c r="H32" s="54" t="inlineStr">
        <is>
          <t>목표 ID, 학습 단위명, 예상 소요시간, 선행 단위</t>
        </is>
      </c>
      <c r="I32" s="54" t="inlineStr">
        <is>
          <t>AI Agent</t>
        </is>
      </c>
      <c r="J32" s="56" t="inlineStr">
        <is>
          <t>Must</t>
        </is>
      </c>
      <c r="K32" s="54" t="inlineStr">
        <is>
          <t>스키마 검증 실패 시 1회 재시도 후 표준 커리큘럼 템플릿으로 대체 / 도구 호출 5회 초과 시 중간 결과로 마감 / 총 소요시간이 가용시간의 1.5배를 넘으면 범위 축소안을 함께 제시</t>
        </is>
      </c>
      <c r="L32" s="54" t="n"/>
      <c r="M32" s="54" t="inlineStr">
        <is>
          <t>회원</t>
        </is>
      </c>
      <c r="N32" s="54" t="inlineStr">
        <is>
          <t>AI기능명세 ①② 참조</t>
        </is>
      </c>
    </row>
    <row r="33" ht="45.75" customHeight="1" s="44">
      <c r="A33" s="54" t="inlineStr">
        <is>
          <t>FR-PLAN-03</t>
        </is>
      </c>
      <c r="B33" s="74" t="n"/>
      <c r="C33" s="54" t="inlineStr">
        <is>
          <t>일정 생성</t>
        </is>
      </c>
      <c r="D33" s="54" t="inlineStr">
        <is>
          <t>스케줄 배치</t>
        </is>
      </c>
      <c r="E33" s="54" t="inlineStr">
        <is>
          <t>학습 단위가 빈 시간에 자동 배치된다</t>
        </is>
      </c>
      <c r="F33" s="54" t="inlineStr">
        <is>
          <t>선행 관계와 마감일을 지켜 결정론적으로 배치</t>
        </is>
      </c>
      <c r="G33" s="54" t="inlineStr">
        <is>
          <t>블록은 최대 120분(긴 단위는 블록 여러 개로 나눠 순서대로) / 하루 최대 3블록·연속 2시간 초과 금지 / 주 1일 휴식일 확보 (일요일을 공부 시간으로 고르면 고르지 않은 요일로)</t>
        </is>
      </c>
      <c r="H33" s="54" t="inlineStr">
        <is>
          <t>블록 ID, 학습 단위 ID, 배치 일시, 소요시간</t>
        </is>
      </c>
      <c r="I33" s="54" t="n"/>
      <c r="J33" s="56" t="inlineStr">
        <is>
          <t>Must</t>
        </is>
      </c>
      <c r="K33" s="54" t="inlineStr">
        <is>
          <t>마감일 안에 다 넣을 수 없으면 초과분을 '미배치'로 남기고 목표 조정을 안내 / 같은 입력이면 같은 결과가 나오도록 난수 미사용</t>
        </is>
      </c>
      <c r="L33" s="54" t="n"/>
      <c r="M33" s="54" t="inlineStr">
        <is>
          <t>회원</t>
        </is>
      </c>
      <c r="N33" s="54" t="inlineStr">
        <is>
          <t>LLM 미사용 구간</t>
        </is>
      </c>
    </row>
    <row r="34" ht="45.75" customHeight="1" s="44">
      <c r="A34" s="54" t="inlineStr">
        <is>
          <t>FR-PACE-01</t>
        </is>
      </c>
      <c r="B34" s="74" t="n"/>
      <c r="C34" s="54" t="inlineStr">
        <is>
          <t>진도 관리</t>
        </is>
      </c>
      <c r="D34" s="54" t="inlineStr">
        <is>
          <t>중간 목표 생성</t>
        </is>
      </c>
      <c r="E34" s="54" t="inlineStr">
        <is>
          <t>'언제까지 어디까지'가 자동으로 정해진다</t>
        </is>
      </c>
      <c r="F34" s="54" t="inlineStr">
        <is>
          <t>학습 단위를 묶어 주 단위 체크포인트를 생성</t>
        </is>
      </c>
      <c r="G34" s="54" t="inlineStr">
        <is>
          <t>목표 기한을 4~8구간으로 분할 / 구간마다 '○월 ○일까지 △△단원 완료' 형태의 문장 생성 / 마감 직전 구간은 복습으로 배정</t>
        </is>
      </c>
      <c r="H34" s="54" t="inlineStr">
        <is>
          <t>목표 ID, 체크포인트 ID, 기준 일자, 목표 누적 단위 수, 설명 문구</t>
        </is>
      </c>
      <c r="I34" s="54" t="n"/>
      <c r="J34" s="56" t="inlineStr">
        <is>
          <t>Must</t>
        </is>
      </c>
      <c r="K34" s="54" t="inlineStr">
        <is>
          <t>학습 단위가 4개 미만이면 체크포인트를 만들지 않고 최종 기한만 표시 / 일정이 재조정돼도 체크포인트 기준 일자는 유지하고 필요 시 사용자 확인 후에만 이동</t>
        </is>
      </c>
      <c r="L34" s="54" t="n"/>
      <c r="M34" s="54" t="inlineStr">
        <is>
          <t>회원</t>
        </is>
      </c>
      <c r="N34" s="54" t="inlineStr">
        <is>
          <t>파이프라인 1의 산출물</t>
        </is>
      </c>
    </row>
    <row r="35" ht="45.75" customHeight="1" s="44">
      <c r="A35" s="54" t="inlineStr">
        <is>
          <t>FR-PACE-02</t>
        </is>
      </c>
      <c r="B35" s="74" t="n"/>
      <c r="C35" s="54" t="inlineStr">
        <is>
          <t>진도 관리</t>
        </is>
      </c>
      <c r="D35" s="54" t="inlineStr">
        <is>
          <t>진도 기준선 산출</t>
        </is>
      </c>
      <c r="E35" s="54" t="inlineStr">
        <is>
          <t>지금 어디까지 했어야 하는지 계산된다</t>
        </is>
      </c>
      <c r="F35" s="54" t="inlineStr">
        <is>
          <t>오늘 기준 기대 진도와 실제 진도를 비교</t>
        </is>
      </c>
      <c r="G35" s="54" t="inlineStr">
        <is>
          <t>기대 진도 = 체크포인트 사이를 일 단위 선형 보간 / 차이를 '○일 앞섬 / ○일 뒤처짐'으로 환산</t>
        </is>
      </c>
      <c r="H35" s="54" t="inlineStr">
        <is>
          <t>목표 ID, 기대 누적 단위 수, 실제 완료 단위 수, 차이(일)</t>
        </is>
      </c>
      <c r="I35" s="54" t="n"/>
      <c r="J35" s="56" t="inlineStr">
        <is>
          <t>Must</t>
        </is>
      </c>
      <c r="K35" s="54" t="inlineStr">
        <is>
          <t>학습 시작 후 3일 미만이면 판정을 유보하고 '집계 중'으로 표시 / 휴식일은 지연 계산에서 제외</t>
        </is>
      </c>
      <c r="L35" s="54" t="n"/>
      <c r="M35" s="54" t="inlineStr">
        <is>
          <t>회원</t>
        </is>
      </c>
      <c r="N35" s="54" t="inlineStr">
        <is>
          <t>FR-PACE-03·FR-ALARM-02의 입력값</t>
        </is>
      </c>
    </row>
    <row r="36" ht="45.75" customHeight="1" s="44">
      <c r="A36" s="54" t="inlineStr">
        <is>
          <t>FR-PACE-03</t>
        </is>
      </c>
      <c r="B36" s="74" t="n"/>
      <c r="C36" s="54" t="inlineStr">
        <is>
          <t>진도 관리</t>
        </is>
      </c>
      <c r="D36" s="54" t="inlineStr">
        <is>
          <t>지연 감지·조정 제안</t>
        </is>
      </c>
      <c r="E36" s="54" t="inlineStr">
        <is>
          <t>뒤처지면 무엇을 바꿔야 하는지 안내받는다</t>
        </is>
      </c>
      <c r="F36" s="54" t="inlineStr">
        <is>
          <t>지연 폭이 임계치를 넘으면 조정안을 제시</t>
        </is>
      </c>
      <c r="G36" s="54" t="inlineStr">
        <is>
          <t>3일 이상 뒤처지면 주의, 7일 이상이면 경고 / 조정안은 '주당 시간 늘리기·범위 줄이기·기한 연장' 중 계산 가능한 것만 제시</t>
        </is>
      </c>
      <c r="H36" s="54" t="inlineStr">
        <is>
          <t>목표 ID, 지연 일수, 잔여 단위 수, 잔여 가용시간</t>
        </is>
      </c>
      <c r="I36" s="54" t="n"/>
      <c r="J36" s="56" t="inlineStr">
        <is>
          <t>Should</t>
        </is>
      </c>
      <c r="K36" s="54" t="inlineStr">
        <is>
          <t>남은 기간에 어떤 조정으로도 달성이 불가능하면 목표 재설정을 권유 / 제안 무시를 3회 선택하면 같은 목표에서는 다시 띄우지 않음</t>
        </is>
      </c>
      <c r="L36" s="54" t="inlineStr">
        <is>
          <t>경고 문구가 압박이 되지 않도록 표현 검토 필요</t>
        </is>
      </c>
      <c r="M36" s="54" t="inlineStr">
        <is>
          <t>회원</t>
        </is>
      </c>
      <c r="N36" s="54" t="n"/>
    </row>
    <row r="37" ht="45.75" customHeight="1" s="44">
      <c r="A37" s="54" t="inlineStr">
        <is>
          <t>FR-PLAN-04</t>
        </is>
      </c>
      <c r="B37" s="74" t="n"/>
      <c r="C37" s="54" t="inlineStr">
        <is>
          <t>캘린더</t>
        </is>
      </c>
      <c r="D37" s="54" t="inlineStr">
        <is>
          <t>일정 조회</t>
        </is>
      </c>
      <c r="E37" s="54" t="inlineStr">
        <is>
          <t>주·월 단위로 학습 일정을 확인한다</t>
        </is>
      </c>
      <c r="F37" s="54" t="inlineStr">
        <is>
          <t>주간/월간 뷰 전환</t>
        </is>
      </c>
      <c r="G37" s="54" t="inlineStr">
        <is>
          <t>완료·예정·미배치를 색으로 구분</t>
        </is>
      </c>
      <c r="H37" s="54" t="inlineStr">
        <is>
          <t>블록 ID, 일시, 상태</t>
        </is>
      </c>
      <c r="I37" s="54" t="n"/>
      <c r="J37" s="56" t="inlineStr">
        <is>
          <t>Must</t>
        </is>
      </c>
      <c r="K37" s="54" t="inlineStr">
        <is>
          <t>조회 범위는 목표 기한까지로 제한 / 비회원 접근 시 로그인 페이지로 이동하고 로그인 후 원래 URL로 복귀</t>
        </is>
      </c>
      <c r="L37" s="54" t="n"/>
      <c r="M37" s="54" t="inlineStr">
        <is>
          <t>작성자 본인</t>
        </is>
      </c>
      <c r="N37" s="54" t="n"/>
    </row>
    <row r="38" ht="45.75" customHeight="1" s="44">
      <c r="A38" s="54" t="inlineStr">
        <is>
          <t>FR-PLAN-05</t>
        </is>
      </c>
      <c r="B38" s="74" t="n"/>
      <c r="C38" s="54" t="inlineStr">
        <is>
          <t>캘린더</t>
        </is>
      </c>
      <c r="D38" s="54" t="inlineStr">
        <is>
          <t>블록 수동 편집</t>
        </is>
      </c>
      <c r="E38" s="54" t="inlineStr">
        <is>
          <t>배치된 블록을 직접 옮기거나 지운다</t>
        </is>
      </c>
      <c r="F38" s="54" t="inlineStr">
        <is>
          <t>드래그로 이동, 메뉴로 삭제</t>
        </is>
      </c>
      <c r="G38" s="54" t="inlineStr">
        <is>
          <t>이동 시 선행 관계 위반 여부를 즉시 검사</t>
        </is>
      </c>
      <c r="H38" s="54" t="inlineStr">
        <is>
          <t>블록 ID, 변경 전·후 일시, 고정 여부</t>
        </is>
      </c>
      <c r="I38" s="54" t="n"/>
      <c r="J38" s="56" t="inlineStr">
        <is>
          <t>Should</t>
        </is>
      </c>
      <c r="K38" s="54" t="inlineStr">
        <is>
          <t>선행 관계를 위반하면 경고 후 강행 여부를 사용자가 선택 / 수동 이동한 블록은 야간 재조정에서 고정 처리</t>
        </is>
      </c>
      <c r="L38" s="54" t="n"/>
      <c r="M38" s="54" t="inlineStr">
        <is>
          <t>작성자 본인</t>
        </is>
      </c>
      <c r="N38" s="54" t="n"/>
    </row>
    <row r="39" ht="45.75" customHeight="1" s="44">
      <c r="A39" s="54" t="inlineStr">
        <is>
          <t>FR-PLAN-06</t>
        </is>
      </c>
      <c r="B39" s="74" t="n"/>
      <c r="C39" s="54" t="inlineStr">
        <is>
          <t>자동 재조정</t>
        </is>
      </c>
      <c r="D39" s="54" t="inlineStr">
        <is>
          <t>야간 재조정 배치</t>
        </is>
      </c>
      <c r="E39" s="54" t="inlineStr">
        <is>
          <t>못 지킨 일정이 다음 날 자동으로 반영된다</t>
        </is>
      </c>
      <c r="F39" s="54" t="inlineStr">
        <is>
          <t>매일 03:00 미완료 블록을 남은 기간에 재배치</t>
        </is>
      </c>
      <c r="G39" s="54" t="inlineStr">
        <is>
          <t>사용자별 순차 실행 / 수동 고정 블록과 완료 블록은 제외</t>
        </is>
      </c>
      <c r="H39" s="54" t="inlineStr">
        <is>
          <t>회원 ID, 미완료 블록, 잔여 가용 슬롯</t>
        </is>
      </c>
      <c r="I39" s="54" t="inlineStr">
        <is>
          <t>자동화</t>
        </is>
      </c>
      <c r="J39" s="56" t="inlineStr">
        <is>
          <t>Must</t>
        </is>
      </c>
      <c r="K39" s="54" t="inlineStr">
        <is>
          <t>재배치 실패 시 기존 일정을 그대로 유지하고 관리자 로그 기록 / 3일 연속 미완료가 쌓이면 기한 조정을 제안 / 결과는 확인 없이 반영하되 되돌리기 1회 제공</t>
        </is>
      </c>
      <c r="L39" s="54" t="inlineStr">
        <is>
          <t>무인 실행이라 실패해도 기존 일정이 깨지지 않는 것이 최우선</t>
        </is>
      </c>
      <c r="M39" s="54" t="inlineStr">
        <is>
          <t>작성자 본인</t>
        </is>
      </c>
      <c r="N39" s="54" t="inlineStr">
        <is>
          <t>파이프라인 1 재실행</t>
        </is>
      </c>
    </row>
    <row r="40" ht="45.75" customHeight="1" s="44">
      <c r="A40" s="54" t="inlineStr">
        <is>
          <t>FR-PLAN-07</t>
        </is>
      </c>
      <c r="B40" s="74" t="n"/>
      <c r="C40" s="54" t="inlineStr">
        <is>
          <t>자동 재조정</t>
        </is>
      </c>
      <c r="D40" s="54" t="inlineStr">
        <is>
          <t>변경 내역 확인</t>
        </is>
      </c>
      <c r="E40" s="54" t="inlineStr">
        <is>
          <t>어젯밤 무엇이 바뀌었는지 확인한다</t>
        </is>
      </c>
      <c r="F40" s="54" t="inlineStr">
        <is>
          <t>변경된 블록 목록과 사유를 표시</t>
        </is>
      </c>
      <c r="G40" s="54" t="inlineStr">
        <is>
          <t>추가·이동·삭제를 구분 표시 / 최근 7일 보관</t>
        </is>
      </c>
      <c r="H40" s="54" t="inlineStr">
        <is>
          <t>블록 ID, 변경 유형, 변경 사유, 변경 일시</t>
        </is>
      </c>
      <c r="I40" s="54" t="n"/>
      <c r="J40" s="56" t="inlineStr">
        <is>
          <t>Should</t>
        </is>
      </c>
      <c r="K40" s="54" t="inlineStr">
        <is>
          <t>변경이 없으면 영역을 숨김</t>
        </is>
      </c>
      <c r="L40" s="54" t="n"/>
      <c r="M40" s="54" t="inlineStr">
        <is>
          <t>작성자 본인</t>
        </is>
      </c>
      <c r="N40" s="54" t="n"/>
    </row>
    <row r="41" ht="45.75" customHeight="1" s="44">
      <c r="A41" s="54" t="inlineStr">
        <is>
          <t>FR-PLAN-08</t>
        </is>
      </c>
      <c r="B41" s="75" t="n"/>
      <c r="C41" s="54" t="inlineStr">
        <is>
          <t>캘린더</t>
        </is>
      </c>
      <c r="D41" s="54" t="inlineStr">
        <is>
          <t>구글 캘린더 내보내기</t>
        </is>
      </c>
      <c r="E41" s="54" t="inlineStr">
        <is>
          <t>학습 일정을 내 캘린더에도 넣는다</t>
        </is>
      </c>
      <c r="F41" s="54" t="inlineStr">
        <is>
          <t>선택한 주의 블록을 캘린더 이벤트로 생성</t>
        </is>
      </c>
      <c r="G41" s="54" t="inlineStr">
        <is>
          <t>전용 캘린더를 새로 만들어 기록 / 쓰기 권한 별도 동의</t>
        </is>
      </c>
      <c r="H41" s="54" t="inlineStr">
        <is>
          <t>블록 ID, 캘린더 ID, 이벤트 ID</t>
        </is>
      </c>
      <c r="I41" s="54" t="n"/>
      <c r="J41" s="56" t="inlineStr">
        <is>
          <t>Could</t>
        </is>
      </c>
      <c r="K41" s="54" t="inlineStr">
        <is>
          <t>쓰기 권한 미동의 시 버튼 비활성화 / 중복 생성 방지를 위해 블록-이벤트 ID 매핑 저장</t>
        </is>
      </c>
      <c r="L41" s="54" t="n"/>
      <c r="M41" s="54" t="inlineStr">
        <is>
          <t>작성자 본인</t>
        </is>
      </c>
      <c r="N41" s="54" t="inlineStr">
        <is>
          <t>되돌리기 어려운 동작</t>
        </is>
      </c>
    </row>
    <row r="42" ht="45.75" customHeight="1" s="44">
      <c r="A42" s="54" t="inlineStr">
        <is>
          <t>FR-STUDY-01</t>
        </is>
      </c>
      <c r="B42" s="73" t="inlineStr">
        <is>
          <t>학습 실행</t>
        </is>
      </c>
      <c r="C42" s="54" t="inlineStr">
        <is>
          <t>학습</t>
        </is>
      </c>
      <c r="D42" s="54" t="inlineStr">
        <is>
          <t>학습 타이머</t>
        </is>
      </c>
      <c r="E42" s="54" t="inlineStr">
        <is>
          <t>블록을 시작해 실제 학습시간을 기록한다</t>
        </is>
      </c>
      <c r="F42" s="54" t="inlineStr">
        <is>
          <t>시작·일시정지·종료 버튼 제공</t>
        </is>
      </c>
      <c r="G42" s="54" t="inlineStr">
        <is>
          <t>5분 미만은 기록하지 않음 / 브라우저 종료 시 마지막 시각까지 저장</t>
        </is>
      </c>
      <c r="H42" s="54" t="inlineStr">
        <is>
          <t>블록 ID, 시작·종료 시각, 순수 학습시간</t>
        </is>
      </c>
      <c r="I42" s="54" t="inlineStr">
        <is>
          <t>생성형 AI (블록 공부 방법)</t>
        </is>
      </c>
      <c r="J42" s="56" t="inlineStr">
        <is>
          <t>Must</t>
        </is>
      </c>
      <c r="K42" s="54" t="inlineStr">
        <is>
          <t>30분 이상 조작이 없으면 자동 일시정지 후 확인 모달 / 오프라인이면 로컬 저장 후 재접속 시 동기화 / (10-12 실사용자 설문 반영) 블록마다 '이 블록 공부 방법' — AI(Claude Haiku)가 같은 단원의 1/3·2/3·3/3 을 한 번에 받아 블록마다 3단계 할 일과 시간을 보여 줌. 실패하면 단원 유형·순서별 규칙 안내</t>
        </is>
      </c>
      <c r="L42" s="54" t="n"/>
      <c r="M42" s="54" t="inlineStr">
        <is>
          <t>작성자 본인</t>
        </is>
      </c>
      <c r="N42" s="54" t="n"/>
    </row>
    <row r="43" ht="45.75" customHeight="1" s="44">
      <c r="A43" s="54" t="inlineStr">
        <is>
          <t>FR-STUDY-02</t>
        </is>
      </c>
      <c r="B43" s="74" t="n"/>
      <c r="C43" s="54" t="inlineStr">
        <is>
          <t>학습</t>
        </is>
      </c>
      <c r="D43" s="54" t="inlineStr">
        <is>
          <t>블록 완료 처리</t>
        </is>
      </c>
      <c r="E43" s="54" t="inlineStr">
        <is>
          <t>학습을 끝낸 블록을 완료로 표시한다</t>
        </is>
      </c>
      <c r="F43" s="54" t="inlineStr">
        <is>
          <t>완료 버튼 클릭 시 상태 변경 및 학습 이벤트 발행</t>
        </is>
      </c>
      <c r="G43" s="54" t="inlineStr">
        <is>
          <t>실제 소요시간과 예상 소요시간의 차이를 함께 저장</t>
        </is>
      </c>
      <c r="H43" s="54" t="inlineStr">
        <is>
          <t>블록 ID, 완료 여부, 실제 소요시간, 예상 대비 편차</t>
        </is>
      </c>
      <c r="I43" s="54" t="n"/>
      <c r="J43" s="56" t="inlineStr">
        <is>
          <t>Must</t>
        </is>
      </c>
      <c r="K43" s="54" t="inlineStr">
        <is>
          <t>완료 취소는 24시간 이내에만 가능 / 이벤트 발행 실패 시 재시도 큐에 적재</t>
        </is>
      </c>
      <c r="L43" s="54" t="n"/>
      <c r="M43" s="54" t="inlineStr">
        <is>
          <t>작성자 본인</t>
        </is>
      </c>
      <c r="N43" s="54" t="inlineStr">
        <is>
          <t>파이프라인 3 진입점</t>
        </is>
      </c>
    </row>
    <row r="44" ht="45.75" customHeight="1" s="44">
      <c r="A44" s="54" t="inlineStr">
        <is>
          <t>FR-STUDY-03</t>
        </is>
      </c>
      <c r="B44" s="74" t="n"/>
      <c r="C44" s="54" t="inlineStr">
        <is>
          <t>집계</t>
        </is>
      </c>
      <c r="D44" s="54" t="inlineStr">
        <is>
          <t>실시간 집계</t>
        </is>
      </c>
      <c r="E44" s="54" t="inlineStr">
        <is>
          <t>학습 이벤트가 즉시 집계에 반영된다</t>
        </is>
      </c>
      <c r="F44" s="54" t="inlineStr">
        <is>
          <t>완료·학습시간 이벤트를 카운터에 반영</t>
        </is>
      </c>
      <c r="G44" s="54" t="inlineStr">
        <is>
          <t>누적 학습시간·연속 학습일·주간 달성률 갱신</t>
        </is>
      </c>
      <c r="H44" s="54" t="inlineStr">
        <is>
          <t>회원 ID, 이벤트 유형, 값, 발생 시각</t>
        </is>
      </c>
      <c r="I44" s="54" t="inlineStr">
        <is>
          <t>자동화</t>
        </is>
      </c>
      <c r="J44" s="56" t="inlineStr">
        <is>
          <t>Must</t>
        </is>
      </c>
      <c r="K44" s="54" t="inlineStr">
        <is>
          <t>카운터 장애 시 이벤트를 큐에 보관하고 복구 후 재집계 / 하루 경계는 사용자 로컬 타임존 기준</t>
        </is>
      </c>
      <c r="L44" s="54" t="n"/>
      <c r="M44" s="54" t="inlineStr">
        <is>
          <t>회원</t>
        </is>
      </c>
      <c r="N44" s="54" t="inlineStr">
        <is>
          <t>PostgreSQL 집계 · Redis는 확장 시</t>
        </is>
      </c>
    </row>
    <row r="45" ht="45.75" customHeight="1" s="44">
      <c r="A45" s="54" t="inlineStr">
        <is>
          <t>FR-STUDY-04</t>
        </is>
      </c>
      <c r="B45" s="74" t="n"/>
      <c r="C45" s="54" t="inlineStr">
        <is>
          <t>집계</t>
        </is>
      </c>
      <c r="D45" s="54" t="inlineStr">
        <is>
          <t>레벨·스트릭 판정</t>
        </is>
      </c>
      <c r="E45" s="54" t="inlineStr">
        <is>
          <t>학습량에 따른 상태를 부여받는다</t>
        </is>
      </c>
      <c r="F45" s="54" t="inlineStr">
        <is>
          <t>집계값을 기준표와 대조해 레벨·스트릭 판정</t>
        </is>
      </c>
      <c r="G45" s="54" t="inlineStr">
        <is>
          <t>레벨은 누적 학습시간 기준 5단계 / 스트릭은 하루 20분 이상 학습 시 유지</t>
        </is>
      </c>
      <c r="H45" s="54" t="inlineStr">
        <is>
          <t>회원 ID, 누적 학습시간, 연속 학습일, 레벨</t>
        </is>
      </c>
      <c r="I45" s="54" t="n"/>
      <c r="J45" s="56" t="inlineStr">
        <is>
          <t>Should</t>
        </is>
      </c>
      <c r="K45" s="54" t="inlineStr">
        <is>
          <t>레벨은 하락시키지 않고 스트릭만 초기화 / 판정 실패 시 직전 값 유지</t>
        </is>
      </c>
      <c r="L45" s="54" t="inlineStr">
        <is>
          <t>레벨 하락을 넣을지 논의 필요(이탈 우려)</t>
        </is>
      </c>
      <c r="M45" s="54" t="inlineStr">
        <is>
          <t>회원</t>
        </is>
      </c>
      <c r="N45" s="54" t="inlineStr">
        <is>
          <t>FR-UI-01의 입력값</t>
        </is>
      </c>
    </row>
    <row r="46" ht="45.75" customHeight="1" s="44">
      <c r="A46" s="54" t="inlineStr">
        <is>
          <t>FR-STUDY-05</t>
        </is>
      </c>
      <c r="B46" s="74" t="n"/>
      <c r="C46" s="54" t="inlineStr">
        <is>
          <t>학습</t>
        </is>
      </c>
      <c r="D46" s="54" t="inlineStr">
        <is>
          <t>학습 메모</t>
        </is>
      </c>
      <c r="E46" s="54" t="inlineStr">
        <is>
          <t>블록마다 짧은 회고를 남긴다</t>
        </is>
      </c>
      <c r="F46" s="54" t="inlineStr">
        <is>
          <t>완료 시 200자 메모 입력</t>
        </is>
      </c>
      <c r="G46" s="54" t="inlineStr">
        <is>
          <t>선택 입력 / 목표별로 모아보기 제공</t>
        </is>
      </c>
      <c r="H46" s="54" t="inlineStr">
        <is>
          <t>블록 ID, 메모 텍스트, 작성 일시</t>
        </is>
      </c>
      <c r="I46" s="54" t="n"/>
      <c r="J46" s="56" t="inlineStr">
        <is>
          <t>Could</t>
        </is>
      </c>
      <c r="K46" s="54" t="inlineStr">
        <is>
          <t>미입력이어도 완료 처리에는 영향 없음 / (10-12 설문 반영) 쓰는 중인 메모는 기기에 보관해 화면을 옮겨도 남음 · 저장 시점과 보는 곳(메모 모아보기) 안내</t>
        </is>
      </c>
      <c r="L46" s="54" t="n"/>
      <c r="M46" s="54" t="inlineStr">
        <is>
          <t>작성자 본인</t>
        </is>
      </c>
      <c r="N46" s="54" t="n"/>
    </row>
    <row r="47" ht="45.75" customHeight="1" s="44">
      <c r="A47" s="54" t="inlineStr">
        <is>
          <t>FR-ALARM-01</t>
        </is>
      </c>
      <c r="B47" s="74" t="n"/>
      <c r="C47" s="54" t="inlineStr">
        <is>
          <t>알림</t>
        </is>
      </c>
      <c r="D47" s="54" t="inlineStr">
        <is>
          <t>학습 시작 알림</t>
        </is>
      </c>
      <c r="E47" s="54" t="inlineStr">
        <is>
          <t>공부 시작 시각에 알림을 받는다</t>
        </is>
      </c>
      <c r="F47" s="54" t="inlineStr">
        <is>
          <t>블록 시작 10분 전 웹 푸시·메일 발송</t>
        </is>
      </c>
      <c r="G47" s="54" t="inlineStr">
        <is>
          <t>브라우저 알림 권한을 최초 1회 요청 / 알림에 블록명과 예상 소요시간 표시 / 클릭 시 타이머 화면으로 이동</t>
        </is>
      </c>
      <c r="H47" s="54" t="inlineStr">
        <is>
          <t>회원 ID, 블록 ID, 시작 시각, 알림 채널, 발송 결과</t>
        </is>
      </c>
      <c r="I47" s="54" t="inlineStr">
        <is>
          <t>자동화</t>
        </is>
      </c>
      <c r="J47" s="56" t="inlineStr">
        <is>
          <t>Must</t>
        </is>
      </c>
      <c r="K47" s="54" t="inlineStr">
        <is>
          <t>권한 거부 시 메일로 대체하고 재요청하지 않음 / 방해금지 시간대에는 발송하지 않고 종료 후 첫 블록으로 합침 / 발송 실패 시 1회 재시도</t>
        </is>
      </c>
      <c r="L47" s="54" t="n"/>
      <c r="M47" s="54" t="inlineStr">
        <is>
          <t>작성자 본인</t>
        </is>
      </c>
      <c r="N47" s="54" t="inlineStr">
        <is>
          <t>FR-MY-05 설정 적용</t>
        </is>
      </c>
    </row>
    <row r="48" ht="45.75" customHeight="1" s="44">
      <c r="A48" s="54" t="inlineStr">
        <is>
          <t>FR-ALARM-02</t>
        </is>
      </c>
      <c r="B48" s="74" t="n"/>
      <c r="C48" s="54" t="inlineStr">
        <is>
          <t>알림</t>
        </is>
      </c>
      <c r="D48" s="54" t="inlineStr">
        <is>
          <t>미완료 독촉 알림</t>
        </is>
      </c>
      <c r="E48" s="54" t="inlineStr">
        <is>
          <t>안 하고 넘어간 블록을 다시 알려준다</t>
        </is>
      </c>
      <c r="F48" s="54" t="inlineStr">
        <is>
          <t>블록 시간이 지나도 미완료면 재알림 발송</t>
        </is>
      </c>
      <c r="G48" s="54" t="inlineStr">
        <is>
          <t>블록 종료 30분 후 1회, 당일 21시에 요약 1회 / 문구에 남은 시간과 지연 일수 포함</t>
        </is>
      </c>
      <c r="H48" s="54" t="inlineStr">
        <is>
          <t>회원 ID, 블록 ID, 미완료 여부, 지연 일수, 발송 횟수</t>
        </is>
      </c>
      <c r="I48" s="54" t="inlineStr">
        <is>
          <t>자동화</t>
        </is>
      </c>
      <c r="J48" s="56" t="inlineStr">
        <is>
          <t>Should</t>
        </is>
      </c>
      <c r="K48" s="54" t="inlineStr">
        <is>
          <t>독촉은 하루 최대 3회 / 연속 2회 무응답이면 당일 발송 중단 / 사용자가 '오늘 쉬기'를 누르면 당일 전체 중단하고 휴식일로 기록 / 방해금지 시간대 미발송</t>
        </is>
      </c>
      <c r="L48" s="54" t="inlineStr">
        <is>
          <t>독촉 강도가 이탈로 이어지지 않는지 실사용자 테스트에서 확인 필요</t>
        </is>
      </c>
      <c r="M48" s="54" t="inlineStr">
        <is>
          <t>작성자 본인</t>
        </is>
      </c>
      <c r="N48" s="54" t="inlineStr">
        <is>
          <t>FR-PACE-02 지연 정보 사용</t>
        </is>
      </c>
    </row>
    <row r="49" ht="45.75" customHeight="1" s="44">
      <c r="A49" s="54" t="inlineStr">
        <is>
          <t>FR-ALARM-03</t>
        </is>
      </c>
      <c r="B49" s="74" t="n"/>
      <c r="C49" s="54" t="inlineStr">
        <is>
          <t>알림</t>
        </is>
      </c>
      <c r="D49" s="54" t="inlineStr">
        <is>
          <t>알림에서 바로 처리</t>
        </is>
      </c>
      <c r="E49" s="54" t="inlineStr">
        <is>
          <t>알림에서 미루거나 바로 시작한다</t>
        </is>
      </c>
      <c r="F49" s="54" t="inlineStr">
        <is>
          <t>알림에 '지금 시작 / 30분 미루기 / 오늘 쉬기' 선택 제공</t>
        </is>
      </c>
      <c r="G49" s="54" t="inlineStr">
        <is>
          <t>미루기는 블록당 최대 2회 / 오늘 쉬기 선택 시 야간 재조정 대상으로 넘김</t>
        </is>
      </c>
      <c r="H49" s="54" t="inlineStr">
        <is>
          <t>블록 ID, 선택 값, 처리 시각</t>
        </is>
      </c>
      <c r="I49" s="54" t="n"/>
      <c r="J49" s="56" t="inlineStr">
        <is>
          <t>Should</t>
        </is>
      </c>
      <c r="K49" s="54" t="inlineStr">
        <is>
          <t>미루기 2회 초과 시 선택지에서 제거 / 오프라인 상태에서 누른 선택은 재접속 시 동기화</t>
        </is>
      </c>
      <c r="L49" s="54" t="n"/>
      <c r="M49" s="54" t="inlineStr">
        <is>
          <t>작성자 본인</t>
        </is>
      </c>
      <c r="N49" s="54" t="inlineStr">
        <is>
          <t>FR-PLAN-06으로 연결</t>
        </is>
      </c>
    </row>
    <row r="50" ht="45.75" customHeight="1" s="44">
      <c r="A50" s="54" t="inlineStr">
        <is>
          <t>FR-ALARM-04</t>
        </is>
      </c>
      <c r="B50" s="74" t="n"/>
      <c r="C50" s="54" t="inlineStr">
        <is>
          <t>알림</t>
        </is>
      </c>
      <c r="D50" s="54" t="inlineStr">
        <is>
          <t>주간 진도 요약 알림</t>
        </is>
      </c>
      <c r="E50" s="54" t="inlineStr">
        <is>
          <t>한 주 진도를 정리해 받는다</t>
        </is>
      </c>
      <c r="F50" s="54" t="inlineStr">
        <is>
          <t>매주 일요일 20시 요약 메일 발송</t>
        </is>
      </c>
      <c r="G50" s="54" t="inlineStr">
        <is>
          <t>완료율·지연 일수·다음 체크포인트·추천 공모전 1건 포함</t>
        </is>
      </c>
      <c r="H50" s="54" t="inlineStr">
        <is>
          <t>회원 ID, 주간 완료율, 지연 일수, 다음 체크포인트</t>
        </is>
      </c>
      <c r="I50" s="54" t="inlineStr">
        <is>
          <t>자동화</t>
        </is>
      </c>
      <c r="J50" s="56" t="inlineStr">
        <is>
          <t>Could</t>
        </is>
      </c>
      <c r="K50" s="54" t="inlineStr">
        <is>
          <t>해당 주 학습 기록이 0건이면 수치 대신 목표 재설정 안내만 발송 / 수신 거부 시 발송 제외</t>
        </is>
      </c>
      <c r="L50" s="54" t="n"/>
      <c r="M50" s="54" t="inlineStr">
        <is>
          <t>작성자 본인</t>
        </is>
      </c>
      <c r="N50" s="54" t="n"/>
    </row>
    <row r="51" ht="45.75" customHeight="1" s="44">
      <c r="A51" s="54" t="inlineStr">
        <is>
          <t>FR-STUDY-06</t>
        </is>
      </c>
      <c r="B51" s="75" t="n"/>
      <c r="C51" s="54" t="inlineStr">
        <is>
          <t>학습</t>
        </is>
      </c>
      <c r="D51" s="54" t="inlineStr">
        <is>
          <t>필기 사진 요약</t>
        </is>
      </c>
      <c r="E51" s="54" t="inlineStr">
        <is>
          <t>-</t>
        </is>
      </c>
      <c r="F51" s="54" t="inlineStr">
        <is>
          <t>-</t>
        </is>
      </c>
      <c r="G51" s="54" t="inlineStr">
        <is>
          <t>-</t>
        </is>
      </c>
      <c r="H51" s="54" t="inlineStr">
        <is>
          <t>-</t>
        </is>
      </c>
      <c r="I51" s="54" t="inlineStr">
        <is>
          <t>멀티모달</t>
        </is>
      </c>
      <c r="J51" s="56" t="inlineStr">
        <is>
          <t>Won't</t>
        </is>
      </c>
      <c r="K51" s="54" t="inlineStr">
        <is>
          <t>4주 일정상 이번 범위에서 제외</t>
        </is>
      </c>
      <c r="L51" s="54" t="inlineStr">
        <is>
          <t>다음 버전 후보</t>
        </is>
      </c>
      <c r="M51" s="54" t="inlineStr">
        <is>
          <t>작성자 본인</t>
        </is>
      </c>
      <c r="N51" s="54" t="inlineStr">
        <is>
          <t>v1.1에서 하향</t>
        </is>
      </c>
    </row>
    <row r="52" ht="45.75" customHeight="1" s="44">
      <c r="A52" s="54" t="inlineStr">
        <is>
          <t>FR-CONT-01</t>
        </is>
      </c>
      <c r="B52" s="73" t="inlineStr">
        <is>
          <t>공모전 페이지</t>
        </is>
      </c>
      <c r="C52" s="54" t="inlineStr">
        <is>
          <t>수집</t>
        </is>
      </c>
      <c r="D52" s="54" t="inlineStr">
        <is>
          <t>공고 수집 배치</t>
        </is>
      </c>
      <c r="E52" s="54" t="inlineStr">
        <is>
          <t>최신 공모전 공고가 매일 모인다</t>
        </is>
      </c>
      <c r="F52" s="54" t="inlineStr">
        <is>
          <t>매일 05:00 공개 API·크롤링으로 공고 수집</t>
        </is>
      </c>
      <c r="G52" s="54" t="inlineStr">
        <is>
          <t>출처별 수집 주기 설정 / 중복 제거 키는 주최+제목+마감일</t>
        </is>
      </c>
      <c r="H52" s="54" t="inlineStr">
        <is>
          <t>공고 ID, 제목, 주최, 분야, 자격 요건, 마감일, 원문 URL</t>
        </is>
      </c>
      <c r="I52" s="54" t="inlineStr">
        <is>
          <t>자동화</t>
        </is>
      </c>
      <c r="J52" s="56" t="inlineStr">
        <is>
          <t>Must</t>
        </is>
      </c>
      <c r="K52" s="54" t="inlineStr">
        <is>
          <t>출처가 4xx·5xx를 반환하면 해당 출처만 건너뛰고 나머지 진행 / 3회 연속 실패 시 관리자 알림 / robots.txt 금지 경로는 수집 제외</t>
        </is>
      </c>
      <c r="L52" s="54" t="inlineStr">
        <is>
          <t>출처별 이용약관 확인 필요</t>
        </is>
      </c>
      <c r="M52" s="54" t="inlineStr">
        <is>
          <t>관리자</t>
        </is>
      </c>
      <c r="N52" s="54" t="inlineStr">
        <is>
          <t>파이프라인 2 진입점</t>
        </is>
      </c>
    </row>
    <row r="53" ht="45.75" customHeight="1" s="44">
      <c r="A53" s="54" t="inlineStr">
        <is>
          <t>FR-CONT-02</t>
        </is>
      </c>
      <c r="B53" s="74" t="n"/>
      <c r="C53" s="54" t="inlineStr">
        <is>
          <t>검색</t>
        </is>
      </c>
      <c r="D53" s="54" t="inlineStr">
        <is>
          <t>관련성 검색 (임베딩 색인 대체)</t>
        </is>
      </c>
      <c r="E53" s="54" t="inlineStr">
        <is>
          <t>수집한 공고가 검색 가능해진다</t>
        </is>
      </c>
      <c r="F53" s="54" t="inlineStr">
        <is>
          <t>공고 제목(최대 20건)과 관심 태그를 Claude(Haiku)에 넣어 의미 관련성을 0~1로 판단 (09-29 변경: 임베딩 미사용, Claude 관련성 판단)</t>
        </is>
      </c>
      <c r="G53" s="54" t="inlineStr">
        <is>
          <t>메타 필터(마감일 ≥ 오늘·상태)를 통과한 후보만 전달 / 같은 관심사·후보는 15분 캐시 / 별도 색인 배치 없음</t>
        </is>
      </c>
      <c r="H53" s="54" t="inlineStr">
        <is>
          <t>공고 ID, 제목, 관심 태그, 관련성 점수</t>
        </is>
      </c>
      <c r="I53" s="54" t="inlineStr">
        <is>
          <t>RAG</t>
        </is>
      </c>
      <c r="J53" s="56" t="inlineStr">
        <is>
          <t>Must</t>
        </is>
      </c>
      <c r="K53" s="54" t="inlineStr">
        <is>
          <t>키 없음·호출 실패·응답 검증 실패(입력에 없는 ID, 0~1 밖 점수) 시 제목 키워드 추천으로 대체 / 마감이 지난 공고는 후보에서 제외</t>
        </is>
      </c>
      <c r="L53" s="54" t="n"/>
      <c r="M53" s="54" t="inlineStr">
        <is>
          <t>관리자</t>
        </is>
      </c>
      <c r="N53" s="54" t="inlineStr">
        <is>
          <t>AI기능명세 ③ 참조</t>
        </is>
      </c>
    </row>
    <row r="54" ht="45.75" customHeight="1" s="44">
      <c r="A54" s="54" t="inlineStr">
        <is>
          <t>FR-CONT-03</t>
        </is>
      </c>
      <c r="B54" s="74" t="n"/>
      <c r="C54" s="54" t="inlineStr">
        <is>
          <t>목록</t>
        </is>
      </c>
      <c r="D54" s="54" t="inlineStr">
        <is>
          <t>공모전 검색·필터</t>
        </is>
      </c>
      <c r="E54" s="54" t="inlineStr">
        <is>
          <t>조건에 맞는 공모전을 직접 찾는다</t>
        </is>
      </c>
      <c r="F54" s="54" t="inlineStr">
        <is>
          <t>키워드 검색과 분야·마감일·자격 필터 제공</t>
        </is>
      </c>
      <c r="G54" s="54" t="inlineStr">
        <is>
          <t>마감 임박순·최신순 정렬 / 마감 지난 공고는 기본 숨김</t>
        </is>
      </c>
      <c r="H54" s="54" t="inlineStr">
        <is>
          <t>공고 ID, 분야, 마감일, 자격 요건</t>
        </is>
      </c>
      <c r="I54" s="54" t="n"/>
      <c r="J54" s="56" t="inlineStr">
        <is>
          <t>Should</t>
        </is>
      </c>
      <c r="K54" s="54" t="inlineStr">
        <is>
          <t>결과 0건이면 필터 완화를 제안 / 마감 24시간 이내 공고는 별도 표시 / 비회원은 검색·필터·상세 조회만 가능하고 관심 등록·일정 반영은 로그인 요구</t>
        </is>
      </c>
      <c r="L54" s="54" t="inlineStr">
        <is>
          <t>비회원 유입 경로이자 서비스 가치를 먼저 보여주는 화면</t>
        </is>
      </c>
      <c r="M54" s="54" t="inlineStr">
        <is>
          <t>비회원</t>
        </is>
      </c>
      <c r="N54" s="54" t="n"/>
    </row>
    <row r="55" ht="45.75" customHeight="1" s="44">
      <c r="A55" s="54" t="inlineStr">
        <is>
          <t>FR-CONT-10</t>
        </is>
      </c>
      <c r="B55" s="74" t="n"/>
      <c r="C55" s="54" t="inlineStr">
        <is>
          <t>목록</t>
        </is>
      </c>
      <c r="D55" s="54" t="inlineStr">
        <is>
          <t>준비 기간 산정</t>
        </is>
      </c>
      <c r="E55" s="54" t="inlineStr">
        <is>
          <t>이 공모전을 하려면 얼마가 필요한지 계산해 본다</t>
        </is>
      </c>
      <c r="F55" s="54" t="inlineStr">
        <is>
          <t>공고 상세에서 주당 투입 가능 시간을 입력하면 준비 기간을 계산</t>
        </is>
      </c>
      <c r="G55" s="54" t="inlineStr">
        <is>
          <t>필요 준비시간 ÷ 입력한 주당 시간으로 최소 기간 산출 / 마감일과 대조해 가능·빠듯함·불가로 판정 / 비회원도 로그인 없이 사용</t>
        </is>
      </c>
      <c r="H55" s="54" t="inlineStr">
        <is>
          <t>공고 ID, 분야별 표준 준비시간, 입력한 주당 시간, 마감일, 최소 주차</t>
        </is>
      </c>
      <c r="I55" s="54" t="n"/>
      <c r="J55" s="56" t="inlineStr">
        <is>
          <t>Must</t>
        </is>
      </c>
      <c r="K55" s="54" t="inlineStr">
        <is>
          <t>표준 준비시간이 없는 분야는 유사 분야 중앙값으로 계산하고 '추정' 표시 / 마감까지 남은 기간이 최소 기간보다 짧으면 '이번 회차는 어렵습니다'와 함께 다음 회차 또는 유사 공고를 제안 / 비회원 입력값은 브라우저 세션에만 보관하고 서버에 저장하지 않음</t>
        </is>
      </c>
      <c r="L55" s="54" t="n"/>
      <c r="M55" s="54" t="inlineStr">
        <is>
          <t>비회원</t>
        </is>
      </c>
      <c r="N55" s="54" t="inlineStr">
        <is>
          <t>FR-GOAL-09와 같은 계산 모듈 사용</t>
        </is>
      </c>
    </row>
    <row r="56" ht="45.75" customHeight="1" s="44">
      <c r="A56" s="54" t="inlineStr">
        <is>
          <t>FR-CONT-11</t>
        </is>
      </c>
      <c r="B56" s="74" t="n"/>
      <c r="C56" s="54" t="inlineStr">
        <is>
          <t>목록</t>
        </is>
      </c>
      <c r="D56" s="54" t="inlineStr">
        <is>
          <t>계산 결과 저장 유도</t>
        </is>
      </c>
      <c r="E56" s="54" t="inlineStr">
        <is>
          <t>계산한 계획을 일정으로 만들려면 가입한다</t>
        </is>
      </c>
      <c r="F56" s="54" t="inlineStr">
        <is>
          <t>결과 하단에 '이 준비 기간으로 일정 만들기' 버튼 제공</t>
        </is>
      </c>
      <c r="G56" s="54" t="inlineStr">
        <is>
          <t>비회원이 누르면 회원가입으로 이동하고 가입 후 계산값을 목표 생성에 그대로 전달</t>
        </is>
      </c>
      <c r="H56" s="54" t="inlineStr">
        <is>
          <t>공고 ID, 주당 시간, 최소 주차, 임시 세션 키</t>
        </is>
      </c>
      <c r="I56" s="54" t="n"/>
      <c r="J56" s="56" t="inlineStr">
        <is>
          <t>Should</t>
        </is>
      </c>
      <c r="K56" s="54" t="inlineStr">
        <is>
          <t>가입을 완료하지 않으면 세션 종료와 함께 값을 폐기 / 계산·검색 자체는 가입 요구 없이 끝까지 사용 가능</t>
        </is>
      </c>
      <c r="L56" s="54" t="inlineStr">
        <is>
          <t>가입 유도 배너가 검색 이용을 막지 않도록 배치</t>
        </is>
      </c>
      <c r="M56" s="54" t="inlineStr">
        <is>
          <t>비회원</t>
        </is>
      </c>
      <c r="N56" s="54" t="inlineStr">
        <is>
          <t>FR-GOAL-07로 연결</t>
        </is>
      </c>
    </row>
    <row r="57" ht="45.75" customHeight="1" s="44">
      <c r="A57" s="54" t="inlineStr">
        <is>
          <t>FR-CONT-04</t>
        </is>
      </c>
      <c r="B57" s="74" t="n"/>
      <c r="C57" s="54" t="inlineStr">
        <is>
          <t>추천</t>
        </is>
      </c>
      <c r="D57" s="54" t="inlineStr">
        <is>
          <t>유사 공모전 추천</t>
        </is>
      </c>
      <c r="E57" s="54" t="inlineStr">
        <is>
          <t>지금 공부하는 내용과 맞는 공모전을 주 1회 받는다</t>
        </is>
      </c>
      <c r="F57" s="54" t="inlineStr">
        <is>
          <t>목표·관심 태그로 검색한 뒤 재랭킹해 5건 제시</t>
        </is>
      </c>
      <c r="G57" s="54" t="inlineStr">
        <is>
          <t>마감일이 목표 기한 안이고 자격 요건을 충족하는 공고만 / 매주 월요일 09:00 갱신</t>
        </is>
      </c>
      <c r="H57" s="54" t="inlineStr">
        <is>
          <t>회원 ID, 목표 ID, 관심 태그, Claude 관련성 점수, 재랭킹 점수</t>
        </is>
      </c>
      <c r="I57" s="54" t="inlineStr">
        <is>
          <t>RAG</t>
        </is>
      </c>
      <c r="J57" s="56" t="inlineStr">
        <is>
          <t>Must</t>
        </is>
      </c>
      <c r="K57" s="54" t="inlineStr">
        <is>
          <t>최고 유사도 0.62 미만이면 추천을 만들지 않고 '이번 주 추천 없음'으로 표시 / 지난주와 4건 이상 겹치면 중복분을 빼고 다음 순위로 채움</t>
        </is>
      </c>
      <c r="L57" s="54" t="n"/>
      <c r="M57" s="54" t="inlineStr">
        <is>
          <t>회원</t>
        </is>
      </c>
      <c r="N57" s="54" t="inlineStr">
        <is>
          <t>AI기능명세 ③ 참조</t>
        </is>
      </c>
    </row>
    <row r="58" ht="45.75" customHeight="1" s="44">
      <c r="A58" s="54" t="inlineStr">
        <is>
          <t>FR-CONT-05</t>
        </is>
      </c>
      <c r="B58" s="74" t="n"/>
      <c r="C58" s="54" t="inlineStr">
        <is>
          <t>추천</t>
        </is>
      </c>
      <c r="D58" s="54" t="inlineStr">
        <is>
          <t>추천 이유 표시</t>
        </is>
      </c>
      <c r="E58" s="54" t="inlineStr">
        <is>
          <t>왜 추천됐는지 확인한다</t>
        </is>
      </c>
      <c r="F58" s="54" t="inlineStr">
        <is>
          <t>공고마다 추천 이유 한 문장과 근거 태그 표시</t>
        </is>
      </c>
      <c r="G58" s="54" t="inlineStr">
        <is>
          <t>'AI 추천' 배지와 부정확 가능성 고지 문구 상시 노출</t>
        </is>
      </c>
      <c r="H58" s="54" t="inlineStr">
        <is>
          <t>공고 ID, 추천 이유, 매칭 태그, 재랭킹 점수</t>
        </is>
      </c>
      <c r="I58" s="54" t="inlineStr">
        <is>
          <t>RAG</t>
        </is>
      </c>
      <c r="J58" s="56" t="inlineStr">
        <is>
          <t>Must</t>
        </is>
      </c>
      <c r="K58" s="54" t="inlineStr">
        <is>
          <t>이유 생성 실패 시 매칭 태그만 표시 / 고지 문구는 접거나 숨길 수 없도록 고정 / 지원 자격은 원문 확인을 함께 안내</t>
        </is>
      </c>
      <c r="L58" s="54" t="n"/>
      <c r="M58" s="54" t="inlineStr">
        <is>
          <t>회원</t>
        </is>
      </c>
      <c r="N58" s="54" t="inlineStr">
        <is>
          <t>NFR-ETHIC-01/02</t>
        </is>
      </c>
    </row>
    <row r="59" ht="45.75" customHeight="1" s="44">
      <c r="A59" s="54" t="inlineStr">
        <is>
          <t>FR-CONT-06</t>
        </is>
      </c>
      <c r="B59" s="74" t="n"/>
      <c r="C59" s="54" t="inlineStr">
        <is>
          <t>수집</t>
        </is>
      </c>
      <c r="D59" s="54" t="inlineStr">
        <is>
          <t>포스터 정보 추출</t>
        </is>
      </c>
      <c r="E59" s="54" t="inlineStr">
        <is>
          <t>이미지로만 올라온 공고도 검색된다</t>
        </is>
      </c>
      <c r="F59" s="54" t="inlineStr">
        <is>
          <t>포스터 이미지에서 마감일·자격 요건을 추출</t>
        </is>
      </c>
      <c r="G59" s="54" t="inlineStr">
        <is>
          <t>추출 결과는 관리자 검수 후에만 노출</t>
        </is>
      </c>
      <c r="H59" s="54" t="inlineStr">
        <is>
          <t>공고 ID, 이미지, 추출 텍스트, 검수 상태</t>
        </is>
      </c>
      <c r="I59" s="54" t="inlineStr">
        <is>
          <t>멀티모달</t>
        </is>
      </c>
      <c r="J59" s="56" t="inlineStr">
        <is>
          <t>Won't</t>
        </is>
      </c>
      <c r="K59" s="54" t="inlineStr">
        <is>
          <t>위비티 이용 조건(비영리·원문·포스터 저장 금지, 제목·링크·메타데이터만 사용)과 충돌해 이번 범위에서 제외</t>
        </is>
      </c>
      <c r="L59" s="54" t="inlineStr">
        <is>
          <t>포스터 이미지를 받아 저장해야 하는 기능 — 공식 API·제휴로 이미지 사용 허락을 받으면 재검토</t>
        </is>
      </c>
      <c r="M59" s="54" t="inlineStr">
        <is>
          <t>관리자</t>
        </is>
      </c>
      <c r="N59" s="54" t="inlineStr">
        <is>
          <t>v1.2에서 하향 (Could → Won't, 10-02)</t>
        </is>
      </c>
    </row>
    <row r="60" ht="45.75" customHeight="1" s="44">
      <c r="A60" s="54" t="inlineStr">
        <is>
          <t>FR-CONT-07</t>
        </is>
      </c>
      <c r="B60" s="74" t="n"/>
      <c r="C60" s="54" t="inlineStr">
        <is>
          <t>추천</t>
        </is>
      </c>
      <c r="D60" s="54" t="inlineStr">
        <is>
          <t>관심 공모전 등록</t>
        </is>
      </c>
      <c r="E60" s="54" t="inlineStr">
        <is>
          <t>관심 공모전을 일정에 반영한다</t>
        </is>
      </c>
      <c r="F60" s="54" t="inlineStr">
        <is>
          <t>관심 등록 시 마감 전 준비 블록을 일정에 추가</t>
        </is>
      </c>
      <c r="G60" s="54" t="inlineStr">
        <is>
          <t>마감 D-7·D-3 준비 블록 자동 생성 / 추가 전 사용자 확인</t>
        </is>
      </c>
      <c r="H60" s="54" t="inlineStr">
        <is>
          <t>회원 ID, 공고 ID, 마감일, 생성 블록 ID</t>
        </is>
      </c>
      <c r="I60" s="54" t="n"/>
      <c r="J60" s="56" t="inlineStr">
        <is>
          <t>Should</t>
        </is>
      </c>
      <c r="K60" s="54" t="inlineStr">
        <is>
          <t>가용 시간이 부족하면 추가하지 않고 기존 일정과의 충돌을 먼저 안내 / 관심 해제 시 생성된 블록도 함께 삭제</t>
        </is>
      </c>
      <c r="L60" s="54" t="n"/>
      <c r="M60" s="54" t="inlineStr">
        <is>
          <t>작성자 본인</t>
        </is>
      </c>
      <c r="N60" s="54" t="inlineStr">
        <is>
          <t>일정이 바뀌므로 확인 필수</t>
        </is>
      </c>
    </row>
    <row r="61" ht="45.75" customHeight="1" s="44">
      <c r="A61" s="54" t="inlineStr">
        <is>
          <t>FR-CONT-08</t>
        </is>
      </c>
      <c r="B61" s="74" t="n"/>
      <c r="C61" s="54" t="inlineStr">
        <is>
          <t>피드백</t>
        </is>
      </c>
      <c r="D61" s="54" t="inlineStr">
        <is>
          <t>추천 평가</t>
        </is>
      </c>
      <c r="E61" s="54" t="inlineStr">
        <is>
          <t>추천이 도움이 됐는지 평가한다</t>
        </is>
      </c>
      <c r="F61" s="54" t="inlineStr">
        <is>
          <t>공고마다 '도움됨 / 안 맞음' 선택</t>
        </is>
      </c>
      <c r="G61" s="54" t="inlineStr">
        <is>
          <t>안 맞음 선택 시 사유를 선택지로 수집(분야·난이도·마감 임박)</t>
        </is>
      </c>
      <c r="H61" s="54" t="inlineStr">
        <is>
          <t>회원 ID, 공고 ID, 평가, 사유, 당시 재랭킹 점수</t>
        </is>
      </c>
      <c r="I61" s="54" t="inlineStr">
        <is>
          <t>Memory</t>
        </is>
      </c>
      <c r="J61" s="56" t="inlineStr">
        <is>
          <t>Must</t>
        </is>
      </c>
      <c r="K61" s="54" t="inlineStr">
        <is>
          <t>평가와 함께 당시 점수를 저장해 검색 문제인지 재랭킹 문제인지 구분 / 중복 평가는 최신 값으로 덮어씀</t>
        </is>
      </c>
      <c r="L61" s="54" t="inlineStr">
        <is>
          <t>실사용자 5명 요건의 근거 자료</t>
        </is>
      </c>
      <c r="M61" s="54" t="inlineStr">
        <is>
          <t>회원</t>
        </is>
      </c>
      <c r="N61" s="54" t="inlineStr">
        <is>
          <t>피드백 수집</t>
        </is>
      </c>
    </row>
    <row r="62" ht="45.75" customHeight="1" s="44">
      <c r="A62" s="54" t="inlineStr">
        <is>
          <t>FR-CONT-09</t>
        </is>
      </c>
      <c r="B62" s="75" t="n"/>
      <c r="C62" s="54" t="inlineStr">
        <is>
          <t>추천</t>
        </is>
      </c>
      <c r="D62" s="54" t="inlineStr">
        <is>
          <t>팀원 매칭</t>
        </is>
      </c>
      <c r="E62" s="54" t="inlineStr">
        <is>
          <t>-</t>
        </is>
      </c>
      <c r="F62" s="54" t="inlineStr">
        <is>
          <t>-</t>
        </is>
      </c>
      <c r="G62" s="54" t="inlineStr">
        <is>
          <t>-</t>
        </is>
      </c>
      <c r="H62" s="54" t="inlineStr">
        <is>
          <t>-</t>
        </is>
      </c>
      <c r="I62" s="54" t="n"/>
      <c r="J62" s="56" t="inlineStr">
        <is>
          <t>Won't</t>
        </is>
      </c>
      <c r="K62" s="54" t="inlineStr">
        <is>
          <t>이번 범위에서 제외</t>
        </is>
      </c>
      <c r="L62" s="54" t="inlineStr">
        <is>
          <t>다음 버전 후보</t>
        </is>
      </c>
      <c r="M62" s="54" t="inlineStr">
        <is>
          <t>회원</t>
        </is>
      </c>
      <c r="N62" s="54" t="n"/>
    </row>
    <row r="63" ht="45.75" customHeight="1" s="44">
      <c r="A63" s="54" t="inlineStr">
        <is>
          <t>FR-MEM-01</t>
        </is>
      </c>
      <c r="B63" s="73" t="inlineStr">
        <is>
          <t>마이페이지</t>
        </is>
      </c>
      <c r="C63" s="54" t="inlineStr">
        <is>
          <t>학습 메모리</t>
        </is>
      </c>
      <c r="D63" s="54" t="inlineStr">
        <is>
          <t>메모리 조회</t>
        </is>
      </c>
      <c r="E63" s="54" t="inlineStr">
        <is>
          <t>시스템이 나에 대해 저장한 내용을 확인한다</t>
        </is>
      </c>
      <c r="F63" s="54" t="inlineStr">
        <is>
          <t>선호 시간대·소요시간 편차·관심 태그를 목록으로 표시</t>
        </is>
      </c>
      <c r="G63" s="54" t="inlineStr">
        <is>
          <t>항목별 갱신 시점과 근거 기록 함께 표시</t>
        </is>
      </c>
      <c r="H63" s="54" t="inlineStr">
        <is>
          <t>회원 ID, 메모리 유형, 값, 갱신 일시</t>
        </is>
      </c>
      <c r="I63" s="54" t="inlineStr">
        <is>
          <t>Memory</t>
        </is>
      </c>
      <c r="J63" s="56" t="inlineStr">
        <is>
          <t>Should</t>
        </is>
      </c>
      <c r="K63" s="54" t="inlineStr">
        <is>
          <t>저장된 메모리가 없으면 빈 상태 안내</t>
        </is>
      </c>
      <c r="L63" s="54" t="n"/>
      <c r="M63" s="54" t="inlineStr">
        <is>
          <t>작성자 본인</t>
        </is>
      </c>
      <c r="N63" s="54" t="inlineStr">
        <is>
          <t>AI기능명세 ⑤ 참조</t>
        </is>
      </c>
    </row>
    <row r="64" ht="45.75" customHeight="1" s="44">
      <c r="A64" s="54" t="inlineStr">
        <is>
          <t>FR-MEM-02</t>
        </is>
      </c>
      <c r="B64" s="74" t="n"/>
      <c r="C64" s="54" t="inlineStr">
        <is>
          <t>학습 메모리</t>
        </is>
      </c>
      <c r="D64" s="54" t="inlineStr">
        <is>
          <t>메모리 삭제</t>
        </is>
      </c>
      <c r="E64" s="54" t="inlineStr">
        <is>
          <t>저장된 학습 정보를 지운다</t>
        </is>
      </c>
      <c r="F64" s="54" t="inlineStr">
        <is>
          <t>항목별 또는 전체 삭제</t>
        </is>
      </c>
      <c r="G64" s="54" t="inlineStr">
        <is>
          <t>확인 모달 후 즉시 물리 삭제</t>
        </is>
      </c>
      <c r="H64" s="54" t="inlineStr">
        <is>
          <t>회원 ID, 메모리 ID</t>
        </is>
      </c>
      <c r="I64" s="54" t="inlineStr">
        <is>
          <t>Memory</t>
        </is>
      </c>
      <c r="J64" s="56" t="inlineStr">
        <is>
          <t>Must</t>
        </is>
      </c>
      <c r="K64" s="54" t="inlineStr">
        <is>
          <t>삭제한 항목은 이후 일정 생성·추천에 사용하지 않음 / 롤백 불가를 사전 안내</t>
        </is>
      </c>
      <c r="L64" s="54" t="inlineStr">
        <is>
          <t>개인화 서비스는 삭제 수단이 필수</t>
        </is>
      </c>
      <c r="M64" s="54" t="inlineStr">
        <is>
          <t>작성자 본인</t>
        </is>
      </c>
      <c r="N64" s="54" t="inlineStr">
        <is>
          <t>NFR-PRIV-02</t>
        </is>
      </c>
    </row>
    <row r="65" ht="45.75" customHeight="1" s="44">
      <c r="A65" s="54" t="inlineStr">
        <is>
          <t>FR-MY-01</t>
        </is>
      </c>
      <c r="B65" s="74" t="n"/>
      <c r="C65" s="54" t="inlineStr">
        <is>
          <t>설정</t>
        </is>
      </c>
      <c r="D65" s="54" t="inlineStr">
        <is>
          <t>가용 시간 수정</t>
        </is>
      </c>
      <c r="E65" s="54" t="inlineStr">
        <is>
          <t>공부 가능 시간을 바꾼다</t>
        </is>
      </c>
      <c r="F65" s="54" t="inlineStr">
        <is>
          <t>요일별 시간대를 다시 설정</t>
        </is>
      </c>
      <c r="G65" s="54" t="inlineStr">
        <is>
          <t>저장 시 다음 야간 재조정부터 반영</t>
        </is>
      </c>
      <c r="H65" s="54" t="inlineStr">
        <is>
          <t>회원 ID, 요일, 시작·종료 시각</t>
        </is>
      </c>
      <c r="I65" s="54" t="n"/>
      <c r="J65" s="56" t="inlineStr">
        <is>
          <t>Should</t>
        </is>
      </c>
      <c r="K65" s="54" t="inlineStr">
        <is>
          <t>즉시 반영을 원하면 '지금 일정 다시 만들기' 버튼 제공</t>
        </is>
      </c>
      <c r="L65" s="54" t="n"/>
      <c r="M65" s="54" t="inlineStr">
        <is>
          <t>작성자 본인</t>
        </is>
      </c>
      <c r="N65" s="54" t="n"/>
    </row>
    <row r="66" ht="45.75" customHeight="1" s="44">
      <c r="A66" s="54" t="inlineStr">
        <is>
          <t>FR-MY-02</t>
        </is>
      </c>
      <c r="B66" s="74" t="n"/>
      <c r="C66" s="54" t="inlineStr">
        <is>
          <t>설정</t>
        </is>
      </c>
      <c r="D66" s="54" t="inlineStr">
        <is>
          <t>목표 관리</t>
        </is>
      </c>
      <c r="E66" s="54" t="inlineStr">
        <is>
          <t>목표를 변경하거나 종료한다</t>
        </is>
      </c>
      <c r="F66" s="54" t="inlineStr">
        <is>
          <t>목표 기한 수정 및 중도 종료</t>
        </is>
      </c>
      <c r="G66" s="54" t="inlineStr">
        <is>
          <t>종료 시 남은 블록은 보관 상태로 전환</t>
        </is>
      </c>
      <c r="H66" s="54" t="inlineStr">
        <is>
          <t>회원 ID, 목표 ID, 상태, 종료 일시</t>
        </is>
      </c>
      <c r="I66" s="54" t="n"/>
      <c r="J66" s="56" t="inlineStr">
        <is>
          <t>Should</t>
        </is>
      </c>
      <c r="K66" s="54" t="inlineStr">
        <is>
          <t>종료한 목표의 학습 기록은 통계에 그대로 유지</t>
        </is>
      </c>
      <c r="L66" s="54" t="n"/>
      <c r="M66" s="54" t="inlineStr">
        <is>
          <t>작성자 본인</t>
        </is>
      </c>
      <c r="N66" s="54" t="n"/>
    </row>
    <row r="67" ht="45.75" customHeight="1" s="44">
      <c r="A67" s="54" t="inlineStr">
        <is>
          <t>FR-MY-03</t>
        </is>
      </c>
      <c r="B67" s="74" t="n"/>
      <c r="C67" s="54" t="inlineStr">
        <is>
          <t>알림</t>
        </is>
      </c>
      <c r="D67" s="54" t="inlineStr">
        <is>
          <t>알림 설정</t>
        </is>
      </c>
      <c r="E67" s="54" t="inlineStr">
        <is>
          <t>일정 변경 알림 수신 여부를 정한다</t>
        </is>
      </c>
      <c r="F67" s="54" t="inlineStr">
        <is>
          <t>메일 알림 토글 제공</t>
        </is>
      </c>
      <c r="G67" s="54" t="inlineStr">
        <is>
          <t>기본값 off(선택 동의 항목) / 재조정 결과·마감 임박·학습 독촉 3종을 각각 설정</t>
        </is>
      </c>
      <c r="H67" s="54" t="inlineStr">
        <is>
          <t>회원 ID, 수신 여부, 알림 유형</t>
        </is>
      </c>
      <c r="I67" s="54" t="inlineStr">
        <is>
          <t>자동화</t>
        </is>
      </c>
      <c r="J67" s="56" t="inlineStr">
        <is>
          <t>Should</t>
        </is>
      </c>
      <c r="K67" s="54" t="inlineStr">
        <is>
          <t>발송 실패 시 해당 사용자만 건너뛰고 다음 배치에서 재시도 / 메일 하단에 수신 거부 링크 제공</t>
        </is>
      </c>
      <c r="L67" s="54" t="n"/>
      <c r="M67" s="54" t="inlineStr">
        <is>
          <t>작성자 본인</t>
        </is>
      </c>
      <c r="N67" s="54" t="n"/>
    </row>
    <row r="68" ht="45.75" customHeight="1" s="44">
      <c r="A68" s="54" t="inlineStr">
        <is>
          <t>FR-MY-05</t>
        </is>
      </c>
      <c r="B68" s="74" t="n"/>
      <c r="C68" s="54" t="inlineStr">
        <is>
          <t>알림</t>
        </is>
      </c>
      <c r="D68" s="54" t="inlineStr">
        <is>
          <t>알림 강도·방해금지 설정</t>
        </is>
      </c>
      <c r="E68" s="54" t="inlineStr">
        <is>
          <t>알림이 부담되지 않게 조절한다</t>
        </is>
      </c>
      <c r="F68" s="54" t="inlineStr">
        <is>
          <t>알림 강도 3단계와 방해금지 시간대를 설정</t>
        </is>
      </c>
      <c r="G68" s="54" t="inlineStr">
        <is>
          <t>강도: 약(시작 알림만)·보통(기본)·강(독촉 포함) / 방해금지 시간대 기본 23:00~07:00 / 알림 전체 끄기 제공</t>
        </is>
      </c>
      <c r="H68" s="54" t="inlineStr">
        <is>
          <t>회원 ID, 알림 강도, 방해금지 시작·종료 시각, 채널별 수신 여부</t>
        </is>
      </c>
      <c r="I68" s="54" t="n"/>
      <c r="J68" s="56" t="inlineStr">
        <is>
          <t>Must</t>
        </is>
      </c>
      <c r="K68" s="54" t="inlineStr">
        <is>
          <t>설정은 즉시 반영되며 예약된 발송 큐에도 소급 적용 / 전체 끄기 상태에서도 마감 24시간 전 공모전 알림은 별도 동의 항목으로 분리</t>
        </is>
      </c>
      <c r="L68" s="54" t="inlineStr">
        <is>
          <t>기본값을 '보통'으로 할지 '약'으로 할지 확정 필요</t>
        </is>
      </c>
      <c r="M68" s="54" t="inlineStr">
        <is>
          <t>작성자 본인</t>
        </is>
      </c>
      <c r="N68" s="54" t="inlineStr">
        <is>
          <t>FR-ALARM-01~04 공통 설정</t>
        </is>
      </c>
    </row>
    <row r="69" ht="45.75" customHeight="1" s="44">
      <c r="A69" s="54" t="inlineStr">
        <is>
          <t>FR-MY-04</t>
        </is>
      </c>
      <c r="B69" s="75" t="n"/>
      <c r="C69" s="54" t="inlineStr">
        <is>
          <t>계정</t>
        </is>
      </c>
      <c r="D69" s="54" t="inlineStr">
        <is>
          <t>회원 탈퇴</t>
        </is>
      </c>
      <c r="E69" s="54" t="inlineStr">
        <is>
          <t>계정과 데이터를 삭제한다</t>
        </is>
      </c>
      <c r="F69" s="54" t="inlineStr">
        <is>
          <t>탈퇴 신청 후 확인 절차를 거쳐 삭제</t>
        </is>
      </c>
      <c r="G69" s="54" t="inlineStr">
        <is>
          <t>일정·학습기록·메모리·캘린더 토큰을 모두 삭제</t>
        </is>
      </c>
      <c r="H69" s="54" t="inlineStr">
        <is>
          <t>회원 ID, 탈퇴 일시</t>
        </is>
      </c>
      <c r="I69" s="54" t="n"/>
      <c r="J69" s="56" t="inlineStr">
        <is>
          <t>Must</t>
        </is>
      </c>
      <c r="K69" s="54" t="inlineStr">
        <is>
          <t>캘린더 연동 토큰은 즉시 폐기 / 삭제 완료까지 최대 24시간 소요를 안내</t>
        </is>
      </c>
      <c r="L69" s="54" t="n"/>
      <c r="M69" s="54" t="inlineStr">
        <is>
          <t>작성자 본인</t>
        </is>
      </c>
      <c r="N69" s="54" t="inlineStr">
        <is>
          <t>NFR-PRIV-02</t>
        </is>
      </c>
    </row>
    <row r="70" ht="45.75" customHeight="1" s="44">
      <c r="A70" s="54" t="inlineStr">
        <is>
          <t>FR-ADMIN-01</t>
        </is>
      </c>
      <c r="B70" s="73" t="inlineStr">
        <is>
          <t>관리자</t>
        </is>
      </c>
      <c r="C70" s="54" t="inlineStr">
        <is>
          <t>운영</t>
        </is>
      </c>
      <c r="D70" s="54" t="inlineStr">
        <is>
          <t>수집 공고 점검</t>
        </is>
      </c>
      <c r="E70" s="54" t="inlineStr">
        <is>
          <t>수집된 공고의 오류를 확인하고 고친다</t>
        </is>
      </c>
      <c r="F70" s="54" t="inlineStr">
        <is>
          <t>미검수·중복 의심 공고 목록 조회 및 수정</t>
        </is>
      </c>
      <c r="G70" s="54" t="inlineStr">
        <is>
          <t>마감일 누락·자격 요건 미파싱 항목을 우선 표시</t>
        </is>
      </c>
      <c r="H70" s="54" t="inlineStr">
        <is>
          <t>공고 ID, 검수 상태, 수정 이력</t>
        </is>
      </c>
      <c r="I70" s="54" t="n"/>
      <c r="J70" s="56" t="inlineStr">
        <is>
          <t>Should</t>
        </is>
      </c>
      <c r="K70" s="54" t="inlineStr">
        <is>
          <t>수정 내용은 다음 추천부터 바로 반영 (벡터 색인이 없어 재색인 불필요)</t>
        </is>
      </c>
      <c r="L70" s="54" t="n"/>
      <c r="M70" s="54" t="inlineStr">
        <is>
          <t>관리자</t>
        </is>
      </c>
      <c r="N70" s="54" t="n"/>
    </row>
    <row r="71" ht="45.75" customHeight="1" s="44">
      <c r="A71" s="54" t="inlineStr">
        <is>
          <t>FR-ADMIN-02</t>
        </is>
      </c>
      <c r="B71" s="75" t="n"/>
      <c r="C71" s="54" t="inlineStr">
        <is>
          <t>운영</t>
        </is>
      </c>
      <c r="D71" s="54" t="inlineStr">
        <is>
          <t>AI 호출 모니터링</t>
        </is>
      </c>
      <c r="E71" s="54" t="inlineStr">
        <is>
          <t>AI 사용량과 실패를 확인한다</t>
        </is>
      </c>
      <c r="F71" s="54" t="inlineStr">
        <is>
          <t>일별 호출 수·실패율·비용 대시보드 제공</t>
        </is>
      </c>
      <c r="G71" s="54" t="inlineStr">
        <is>
          <t>기능별(목표추천·학습분해·추천이유)로 분리 표시</t>
        </is>
      </c>
      <c r="H71" s="54" t="inlineStr">
        <is>
          <t>호출 로그, 소요시간, 성공 여부, 토큰 수, 비용</t>
        </is>
      </c>
      <c r="I71" s="54" t="n"/>
      <c r="J71" s="56" t="inlineStr">
        <is>
          <t>Should</t>
        </is>
      </c>
      <c r="K71" s="54" t="inlineStr">
        <is>
          <t>일일 비용 임계치 초과 시 신규 AI 호출을 차단하고 관리자에게 알림</t>
        </is>
      </c>
      <c r="L71" s="54" t="n"/>
      <c r="M71" s="54" t="inlineStr">
        <is>
          <t>관리자</t>
        </is>
      </c>
      <c r="N71" s="54" t="inlineStr">
        <is>
          <t>AI기능명세 ⑥ 참조</t>
        </is>
      </c>
    </row>
    <row r="72" ht="30" customHeight="1" s="44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6" t="n"/>
      <c r="K72" s="54" t="n"/>
      <c r="L72" s="54" t="n"/>
      <c r="M72" s="54" t="n"/>
      <c r="N72" s="54" t="n"/>
    </row>
    <row r="73" ht="30" customHeight="1" s="44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6" t="n"/>
      <c r="K73" s="54" t="n"/>
      <c r="L73" s="54" t="n"/>
      <c r="M73" s="54" t="n"/>
      <c r="N73" s="54" t="n"/>
    </row>
    <row r="74" ht="30" customHeight="1" s="4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6" t="n"/>
      <c r="K74" s="54" t="n"/>
      <c r="L74" s="54" t="n"/>
      <c r="M74" s="54" t="n"/>
      <c r="N74" s="54" t="n"/>
    </row>
    <row r="75" ht="30" customHeight="1" s="44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6" t="n"/>
      <c r="K75" s="54" t="n"/>
      <c r="L75" s="54" t="n"/>
      <c r="M75" s="54" t="n"/>
      <c r="N75" s="54" t="n"/>
    </row>
    <row r="76" ht="30" customHeight="1" s="44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6" t="n"/>
      <c r="K76" s="54" t="n"/>
      <c r="L76" s="54" t="n"/>
      <c r="M76" s="54" t="n"/>
      <c r="N76" s="54" t="n"/>
    </row>
    <row r="77" ht="30" customHeight="1" s="44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6" t="n"/>
      <c r="K77" s="54" t="n"/>
      <c r="L77" s="54" t="n"/>
      <c r="M77" s="54" t="n"/>
      <c r="N77" s="54" t="n"/>
    </row>
    <row r="78" ht="30" customHeight="1" s="44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6" t="n"/>
      <c r="K78" s="54" t="n"/>
      <c r="L78" s="54" t="n"/>
      <c r="M78" s="54" t="n"/>
      <c r="N78" s="54" t="n"/>
    </row>
    <row r="79" ht="30" customHeight="1" s="44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6" t="n"/>
      <c r="K79" s="54" t="n"/>
      <c r="L79" s="54" t="n"/>
      <c r="M79" s="54" t="n"/>
      <c r="N79" s="54" t="n"/>
    </row>
    <row r="80" ht="30" customHeight="1" s="44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6" t="n"/>
      <c r="K80" s="54" t="n"/>
      <c r="L80" s="54" t="n"/>
      <c r="M80" s="54" t="n"/>
      <c r="N80" s="54" t="n"/>
    </row>
    <row r="81" ht="30" customHeight="1" s="44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6" t="n"/>
      <c r="K81" s="54" t="n"/>
      <c r="L81" s="54" t="n"/>
      <c r="M81" s="54" t="n"/>
      <c r="N81" s="54" t="n"/>
    </row>
    <row r="82" ht="30" customHeight="1" s="44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6" t="n"/>
      <c r="K82" s="54" t="n"/>
      <c r="L82" s="54" t="n"/>
      <c r="M82" s="54" t="n"/>
      <c r="N82" s="54" t="n"/>
    </row>
    <row r="83" ht="30" customHeight="1" s="44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6" t="n"/>
      <c r="K83" s="54" t="n"/>
      <c r="L83" s="54" t="n"/>
      <c r="M83" s="54" t="n"/>
      <c r="N83" s="54" t="n"/>
    </row>
    <row r="84" ht="30" customHeight="1" s="4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6" t="n"/>
      <c r="K84" s="54" t="n"/>
      <c r="L84" s="54" t="n"/>
      <c r="M84" s="54" t="n"/>
      <c r="N84" s="54" t="n"/>
    </row>
    <row r="85" ht="30" customHeight="1" s="44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6" t="n"/>
      <c r="K85" s="54" t="n"/>
      <c r="L85" s="54" t="n"/>
      <c r="M85" s="54" t="n"/>
      <c r="N85" s="54" t="n"/>
    </row>
    <row r="86" ht="30" customHeight="1" s="44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6" t="n"/>
      <c r="K86" s="54" t="n"/>
      <c r="L86" s="54" t="n"/>
      <c r="M86" s="54" t="n"/>
      <c r="N86" s="54" t="n"/>
    </row>
    <row r="87" ht="30" customHeight="1" s="44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6" t="n"/>
      <c r="K87" s="54" t="n"/>
      <c r="L87" s="54" t="n"/>
      <c r="M87" s="54" t="n"/>
      <c r="N87" s="54" t="n"/>
    </row>
    <row r="88" ht="30" customHeight="1" s="44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6" t="n"/>
      <c r="K88" s="54" t="n"/>
      <c r="L88" s="54" t="n"/>
      <c r="M88" s="54" t="n"/>
      <c r="N88" s="54" t="n"/>
    </row>
    <row r="89" ht="30" customHeight="1" s="44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6" t="n"/>
      <c r="K89" s="54" t="n"/>
      <c r="L89" s="54" t="n"/>
      <c r="M89" s="54" t="n"/>
      <c r="N89" s="54" t="n"/>
    </row>
    <row r="90" ht="30" customHeight="1" s="44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6" t="n"/>
      <c r="K90" s="54" t="n"/>
      <c r="L90" s="54" t="n"/>
      <c r="M90" s="54" t="n"/>
      <c r="N90" s="54" t="n"/>
    </row>
    <row r="91" ht="30" customHeight="1" s="44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6" t="n"/>
      <c r="K91" s="54" t="n"/>
      <c r="L91" s="54" t="n"/>
      <c r="M91" s="54" t="n"/>
      <c r="N91" s="54" t="n"/>
    </row>
    <row r="92" ht="30" customHeight="1" s="44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6" t="n"/>
      <c r="K92" s="54" t="n"/>
      <c r="L92" s="54" t="n"/>
      <c r="M92" s="54" t="n"/>
      <c r="N92" s="54" t="n"/>
    </row>
    <row r="93" ht="30" customHeight="1" s="44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6" t="n"/>
      <c r="K93" s="54" t="n"/>
      <c r="L93" s="54" t="n"/>
      <c r="M93" s="54" t="n"/>
      <c r="N93" s="54" t="n"/>
    </row>
    <row r="94" ht="30" customHeight="1" s="4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6" t="n"/>
      <c r="K94" s="54" t="n"/>
      <c r="L94" s="54" t="n"/>
      <c r="M94" s="54" t="n"/>
      <c r="N94" s="54" t="n"/>
    </row>
    <row r="95" ht="30" customHeight="1" s="44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6" t="n"/>
      <c r="K95" s="54" t="n"/>
      <c r="L95" s="54" t="n"/>
      <c r="M95" s="54" t="n"/>
      <c r="N95" s="54" t="n"/>
    </row>
    <row r="96" ht="30" customHeight="1" s="44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6" t="n"/>
      <c r="K96" s="54" t="n"/>
      <c r="L96" s="54" t="n"/>
      <c r="M96" s="54" t="n"/>
      <c r="N96" s="54" t="n"/>
    </row>
    <row r="97" ht="30" customHeight="1" s="44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6" t="n"/>
      <c r="K97" s="54" t="n"/>
      <c r="L97" s="54" t="n"/>
      <c r="M97" s="54" t="n"/>
      <c r="N97" s="54" t="n"/>
    </row>
    <row r="98" ht="30" customHeight="1" s="44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6" t="n"/>
      <c r="K98" s="54" t="n"/>
      <c r="L98" s="54" t="n"/>
      <c r="M98" s="54" t="n"/>
      <c r="N98" s="54" t="n"/>
    </row>
    <row r="99" ht="30" customHeight="1" s="44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6" t="n"/>
      <c r="K99" s="54" t="n"/>
      <c r="L99" s="54" t="n"/>
      <c r="M99" s="54" t="n"/>
      <c r="N99" s="54" t="n"/>
    </row>
    <row r="100" ht="30" customHeight="1" s="44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6" t="n"/>
      <c r="K100" s="54" t="n"/>
      <c r="L100" s="54" t="n"/>
      <c r="M100" s="54" t="n"/>
      <c r="N100" s="54" t="n"/>
    </row>
    <row r="101" ht="30" customHeight="1" s="44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6" t="n"/>
      <c r="K101" s="54" t="n"/>
      <c r="L101" s="54" t="n"/>
      <c r="M101" s="54" t="n"/>
      <c r="N101" s="54" t="n"/>
    </row>
    <row r="102" ht="30" customHeight="1" s="44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6" t="n"/>
      <c r="K102" s="54" t="n"/>
      <c r="L102" s="54" t="n"/>
      <c r="M102" s="54" t="n"/>
      <c r="N102" s="54" t="n"/>
    </row>
    <row r="103" ht="30" customHeight="1" s="44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6" t="n"/>
      <c r="K103" s="54" t="n"/>
      <c r="L103" s="54" t="n"/>
      <c r="M103" s="54" t="n"/>
      <c r="N103" s="54" t="n"/>
    </row>
    <row r="104" ht="30" customHeight="1" s="4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6" t="n"/>
      <c r="K104" s="54" t="n"/>
      <c r="L104" s="54" t="n"/>
      <c r="M104" s="54" t="n"/>
      <c r="N104" s="54" t="n"/>
    </row>
    <row r="105" ht="30" customHeight="1" s="44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6" t="n"/>
      <c r="K105" s="54" t="n"/>
      <c r="L105" s="54" t="n"/>
      <c r="M105" s="54" t="n"/>
      <c r="N105" s="54" t="n"/>
    </row>
    <row r="106" ht="30" customHeight="1" s="44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6" t="n"/>
      <c r="K106" s="54" t="n"/>
      <c r="L106" s="54" t="n"/>
      <c r="M106" s="54" t="n"/>
      <c r="N106" s="54" t="n"/>
    </row>
    <row r="107" ht="30" customHeight="1" s="44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6" t="n"/>
      <c r="K107" s="54" t="n"/>
      <c r="L107" s="54" t="n"/>
      <c r="M107" s="54" t="n"/>
      <c r="N107" s="54" t="n"/>
    </row>
    <row r="108" ht="30" customHeight="1" s="44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6" t="n"/>
      <c r="K108" s="54" t="n"/>
      <c r="L108" s="54" t="n"/>
      <c r="M108" s="54" t="n"/>
      <c r="N108" s="54" t="n"/>
    </row>
    <row r="109" ht="30" customHeight="1" s="44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6" t="n"/>
      <c r="K109" s="54" t="n"/>
      <c r="L109" s="54" t="n"/>
      <c r="M109" s="54" t="n"/>
      <c r="N109" s="54" t="n"/>
    </row>
    <row r="110" ht="30" customHeight="1" s="44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6" t="n"/>
      <c r="K110" s="54" t="n"/>
      <c r="L110" s="54" t="n"/>
      <c r="M110" s="54" t="n"/>
      <c r="N110" s="54" t="n"/>
    </row>
    <row r="111" ht="30" customHeight="1" s="44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6" t="n"/>
      <c r="K111" s="54" t="n"/>
      <c r="L111" s="54" t="n"/>
      <c r="M111" s="54" t="n"/>
      <c r="N111" s="54" t="n"/>
    </row>
    <row r="112" ht="30" customHeight="1" s="44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6" t="n"/>
      <c r="K112" s="54" t="n"/>
      <c r="L112" s="54" t="n"/>
      <c r="M112" s="54" t="n"/>
      <c r="N112" s="54" t="n"/>
    </row>
    <row r="113" ht="30" customHeight="1" s="44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6" t="n"/>
      <c r="K113" s="54" t="n"/>
      <c r="L113" s="54" t="n"/>
      <c r="M113" s="54" t="n"/>
      <c r="N113" s="54" t="n"/>
    </row>
    <row r="114" ht="30" customHeight="1" s="4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6" t="n"/>
      <c r="K114" s="54" t="n"/>
      <c r="L114" s="54" t="n"/>
      <c r="M114" s="54" t="n"/>
      <c r="N114" s="54" t="n"/>
    </row>
    <row r="115" ht="30" customHeight="1" s="44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6" t="n"/>
      <c r="K115" s="54" t="n"/>
      <c r="L115" s="54" t="n"/>
      <c r="M115" s="54" t="n"/>
      <c r="N115" s="54" t="n"/>
    </row>
    <row r="116" ht="30" customHeight="1" s="44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6" t="n"/>
      <c r="K116" s="54" t="n"/>
      <c r="L116" s="54" t="n"/>
      <c r="M116" s="54" t="n"/>
      <c r="N116" s="54" t="n"/>
    </row>
    <row r="117" ht="30" customHeight="1" s="44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6" t="n"/>
      <c r="K117" s="54" t="n"/>
      <c r="L117" s="54" t="n"/>
      <c r="M117" s="54" t="n"/>
      <c r="N117" s="54" t="n"/>
    </row>
    <row r="118" ht="30" customHeight="1" s="44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6" t="n"/>
      <c r="K118" s="54" t="n"/>
      <c r="L118" s="54" t="n"/>
      <c r="M118" s="54" t="n"/>
      <c r="N118" s="54" t="n"/>
    </row>
    <row r="119" ht="30" customHeight="1" s="44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6" t="n"/>
      <c r="K119" s="54" t="n"/>
      <c r="L119" s="54" t="n"/>
      <c r="M119" s="54" t="n"/>
      <c r="N119" s="54" t="n"/>
    </row>
    <row r="120" ht="30" customHeight="1" s="44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6" t="n"/>
      <c r="K120" s="54" t="n"/>
      <c r="L120" s="54" t="n"/>
      <c r="M120" s="54" t="n"/>
      <c r="N120" s="54" t="n"/>
    </row>
    <row r="121" ht="30" customHeight="1" s="44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6" t="n"/>
      <c r="K121" s="54" t="n"/>
      <c r="L121" s="54" t="n"/>
      <c r="M121" s="54" t="n"/>
      <c r="N121" s="54" t="n"/>
    </row>
    <row r="122" ht="30" customHeight="1" s="44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6" t="n"/>
      <c r="K122" s="54" t="n"/>
      <c r="L122" s="54" t="n"/>
      <c r="M122" s="54" t="n"/>
      <c r="N122" s="54" t="n"/>
    </row>
    <row r="123" ht="30" customHeight="1" s="44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6" t="n"/>
      <c r="K123" s="54" t="n"/>
      <c r="L123" s="54" t="n"/>
      <c r="M123" s="54" t="n"/>
      <c r="N123" s="54" t="n"/>
    </row>
    <row r="124" ht="30" customHeight="1" s="4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6" t="n"/>
      <c r="K124" s="54" t="n"/>
      <c r="L124" s="54" t="n"/>
      <c r="M124" s="54" t="n"/>
      <c r="N124" s="54" t="n"/>
    </row>
    <row r="125" ht="30" customHeight="1" s="44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6" t="n"/>
      <c r="K125" s="54" t="n"/>
      <c r="L125" s="54" t="n"/>
      <c r="M125" s="54" t="n"/>
      <c r="N125" s="54" t="n"/>
    </row>
    <row r="126" ht="30" customHeight="1" s="44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6" t="n"/>
      <c r="K126" s="54" t="n"/>
      <c r="L126" s="54" t="n"/>
      <c r="M126" s="54" t="n"/>
      <c r="N126" s="54" t="n"/>
    </row>
    <row r="127" ht="30" customHeight="1" s="44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6" t="n"/>
      <c r="K127" s="54" t="n"/>
      <c r="L127" s="54" t="n"/>
      <c r="M127" s="54" t="n"/>
      <c r="N127" s="54" t="n"/>
    </row>
    <row r="128" ht="30" customHeight="1" s="44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6" t="n"/>
      <c r="K128" s="54" t="n"/>
      <c r="L128" s="54" t="n"/>
      <c r="M128" s="54" t="n"/>
      <c r="N128" s="54" t="n"/>
    </row>
    <row r="129" ht="30" customHeight="1" s="44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6" t="n"/>
      <c r="K129" s="54" t="n"/>
      <c r="L129" s="54" t="n"/>
      <c r="M129" s="54" t="n"/>
      <c r="N129" s="54" t="n"/>
    </row>
    <row r="130" ht="30" customHeight="1" s="44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6" t="n"/>
      <c r="K130" s="54" t="n"/>
      <c r="L130" s="54" t="n"/>
      <c r="M130" s="54" t="n"/>
      <c r="N130" s="54" t="n"/>
    </row>
    <row r="131" ht="30" customHeight="1" s="44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6" t="n"/>
      <c r="K131" s="54" t="n"/>
      <c r="L131" s="54" t="n"/>
      <c r="M131" s="54" t="n"/>
      <c r="N131" s="54" t="n"/>
    </row>
    <row r="132" ht="30" customHeight="1" s="44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6" t="n"/>
      <c r="K132" s="54" t="n"/>
      <c r="L132" s="54" t="n"/>
      <c r="M132" s="54" t="n"/>
      <c r="N132" s="54" t="n"/>
    </row>
    <row r="133" ht="30" customHeight="1" s="44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6" t="n"/>
      <c r="K133" s="54" t="n"/>
      <c r="L133" s="54" t="n"/>
      <c r="M133" s="54" t="n"/>
      <c r="N133" s="54" t="n"/>
    </row>
    <row r="134" ht="30" customHeight="1" s="4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6" t="n"/>
      <c r="K134" s="54" t="n"/>
      <c r="L134" s="54" t="n"/>
      <c r="M134" s="54" t="n"/>
      <c r="N134" s="54" t="n"/>
    </row>
    <row r="135" ht="30" customHeight="1" s="44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6" t="n"/>
      <c r="K135" s="54" t="n"/>
      <c r="L135" s="54" t="n"/>
      <c r="M135" s="54" t="n"/>
      <c r="N135" s="54" t="n"/>
    </row>
    <row r="136" ht="30" customHeight="1" s="44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6" t="n"/>
      <c r="K136" s="54" t="n"/>
      <c r="L136" s="54" t="n"/>
      <c r="M136" s="54" t="n"/>
      <c r="N136" s="54" t="n"/>
    </row>
    <row r="137" ht="30" customHeight="1" s="44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6" t="n"/>
      <c r="K137" s="54" t="n"/>
      <c r="L137" s="54" t="n"/>
      <c r="M137" s="54" t="n"/>
      <c r="N137" s="54" t="n"/>
    </row>
    <row r="138" ht="30" customHeight="1" s="44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6" t="n"/>
      <c r="K138" s="54" t="n"/>
      <c r="L138" s="54" t="n"/>
      <c r="M138" s="54" t="n"/>
      <c r="N138" s="54" t="n"/>
    </row>
    <row r="139" ht="30" customHeight="1" s="44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6" t="n"/>
      <c r="K139" s="54" t="n"/>
      <c r="L139" s="54" t="n"/>
      <c r="M139" s="54" t="n"/>
      <c r="N139" s="54" t="n"/>
    </row>
    <row r="140" ht="30" customHeight="1" s="44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6" t="n"/>
      <c r="K140" s="54" t="n"/>
      <c r="L140" s="54" t="n"/>
      <c r="M140" s="54" t="n"/>
      <c r="N140" s="54" t="n"/>
    </row>
    <row r="141" ht="30" customHeight="1" s="44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6" t="n"/>
      <c r="K141" s="54" t="n"/>
      <c r="L141" s="54" t="n"/>
      <c r="M141" s="54" t="n"/>
      <c r="N141" s="54" t="n"/>
    </row>
    <row r="142" ht="30" customHeight="1" s="44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6" t="n"/>
      <c r="K142" s="54" t="n"/>
      <c r="L142" s="54" t="n"/>
      <c r="M142" s="54" t="n"/>
      <c r="N142" s="54" t="n"/>
    </row>
    <row r="143" ht="30" customHeight="1" s="44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6" t="n"/>
      <c r="K143" s="54" t="n"/>
      <c r="L143" s="54" t="n"/>
      <c r="M143" s="54" t="n"/>
      <c r="N143" s="54" t="n"/>
    </row>
    <row r="144" ht="30" customHeight="1" s="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6" t="n"/>
      <c r="K144" s="54" t="n"/>
      <c r="L144" s="54" t="n"/>
      <c r="M144" s="54" t="n"/>
      <c r="N144" s="54" t="n"/>
    </row>
    <row r="145" ht="30" customHeight="1" s="44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6" t="n"/>
      <c r="K145" s="54" t="n"/>
      <c r="L145" s="54" t="n"/>
      <c r="M145" s="54" t="n"/>
      <c r="N145" s="54" t="n"/>
    </row>
    <row r="146" ht="30" customHeight="1" s="44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6" t="n"/>
      <c r="K146" s="54" t="n"/>
      <c r="L146" s="54" t="n"/>
      <c r="M146" s="54" t="n"/>
      <c r="N146" s="54" t="n"/>
    </row>
    <row r="147" ht="30" customHeight="1" s="44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6" t="n"/>
      <c r="K147" s="54" t="n"/>
      <c r="L147" s="54" t="n"/>
      <c r="M147" s="54" t="n"/>
      <c r="N147" s="54" t="n"/>
    </row>
    <row r="148" ht="30" customHeight="1" s="44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6" t="n"/>
      <c r="K148" s="54" t="n"/>
      <c r="L148" s="54" t="n"/>
      <c r="M148" s="54" t="n"/>
      <c r="N148" s="54" t="n"/>
    </row>
    <row r="149" ht="30" customHeight="1" s="44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6" t="n"/>
      <c r="K149" s="54" t="n"/>
      <c r="L149" s="54" t="n"/>
      <c r="M149" s="54" t="n"/>
      <c r="N149" s="54" t="n"/>
    </row>
    <row r="150" ht="30" customHeight="1" s="44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6" t="n"/>
      <c r="K150" s="54" t="n"/>
      <c r="L150" s="54" t="n"/>
      <c r="M150" s="54" t="n"/>
      <c r="N150" s="54" t="n"/>
    </row>
    <row r="151" ht="30" customHeight="1" s="44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6" t="n"/>
      <c r="K151" s="54" t="n"/>
      <c r="L151" s="54" t="n"/>
      <c r="M151" s="54" t="n"/>
      <c r="N151" s="54" t="n"/>
    </row>
    <row r="152" ht="30" customHeight="1" s="44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6" t="n"/>
      <c r="K152" s="54" t="n"/>
      <c r="L152" s="54" t="n"/>
      <c r="M152" s="54" t="n"/>
      <c r="N152" s="54" t="n"/>
    </row>
    <row r="153" ht="30" customHeight="1" s="44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6" t="n"/>
      <c r="K153" s="54" t="n"/>
      <c r="L153" s="54" t="n"/>
      <c r="M153" s="54" t="n"/>
      <c r="N153" s="54" t="n"/>
    </row>
    <row r="154" ht="30" customHeight="1" s="4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6" t="n"/>
      <c r="K154" s="54" t="n"/>
      <c r="L154" s="54" t="n"/>
      <c r="M154" s="54" t="n"/>
      <c r="N154" s="54" t="n"/>
    </row>
    <row r="155" ht="30" customHeight="1" s="44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6" t="n"/>
      <c r="K155" s="54" t="n"/>
      <c r="L155" s="54" t="n"/>
      <c r="M155" s="54" t="n"/>
      <c r="N155" s="54" t="n"/>
    </row>
    <row r="156" ht="30" customHeight="1" s="44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6" t="n"/>
      <c r="K156" s="54" t="n"/>
      <c r="L156" s="54" t="n"/>
      <c r="M156" s="54" t="n"/>
      <c r="N156" s="54" t="n"/>
    </row>
    <row r="157" ht="30" customHeight="1" s="44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6" t="n"/>
      <c r="K157" s="54" t="n"/>
      <c r="L157" s="54" t="n"/>
      <c r="M157" s="54" t="n"/>
      <c r="N157" s="54" t="n"/>
    </row>
    <row r="158" ht="30" customHeight="1" s="44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6" t="n"/>
      <c r="K158" s="54" t="n"/>
      <c r="L158" s="54" t="n"/>
      <c r="M158" s="54" t="n"/>
      <c r="N158" s="54" t="n"/>
    </row>
    <row r="159" ht="30" customHeight="1" s="44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6" t="n"/>
      <c r="K159" s="54" t="n"/>
      <c r="L159" s="54" t="n"/>
      <c r="M159" s="54" t="n"/>
      <c r="N159" s="54" t="n"/>
    </row>
    <row r="160" ht="30" customHeight="1" s="44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6" t="n"/>
      <c r="K160" s="54" t="n"/>
      <c r="L160" s="54" t="n"/>
      <c r="M160" s="54" t="n"/>
      <c r="N160" s="54" t="n"/>
    </row>
    <row r="161" ht="30" customHeight="1" s="44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6" t="n"/>
      <c r="K161" s="54" t="n"/>
      <c r="L161" s="54" t="n"/>
      <c r="M161" s="54" t="n"/>
      <c r="N161" s="54" t="n"/>
    </row>
    <row r="162" ht="30" customHeight="1" s="44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6" t="n"/>
      <c r="K162" s="54" t="n"/>
      <c r="L162" s="54" t="n"/>
      <c r="M162" s="54" t="n"/>
      <c r="N162" s="54" t="n"/>
    </row>
    <row r="163" ht="30" customHeight="1" s="44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6" t="n"/>
      <c r="K163" s="54" t="n"/>
      <c r="L163" s="54" t="n"/>
      <c r="M163" s="54" t="n"/>
      <c r="N163" s="54" t="n"/>
    </row>
    <row r="164" ht="30" customHeight="1" s="4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6" t="n"/>
      <c r="K164" s="54" t="n"/>
      <c r="L164" s="54" t="n"/>
      <c r="M164" s="54" t="n"/>
      <c r="N164" s="54" t="n"/>
    </row>
    <row r="165" ht="30" customHeight="1" s="44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6" t="n"/>
      <c r="K165" s="54" t="n"/>
      <c r="L165" s="54" t="n"/>
      <c r="M165" s="54" t="n"/>
      <c r="N165" s="54" t="n"/>
    </row>
    <row r="166" ht="30" customHeight="1" s="44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6" t="n"/>
      <c r="K166" s="54" t="n"/>
      <c r="L166" s="54" t="n"/>
      <c r="M166" s="54" t="n"/>
      <c r="N166" s="54" t="n"/>
    </row>
    <row r="167" ht="30" customHeight="1" s="44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6" t="n"/>
      <c r="K167" s="54" t="n"/>
      <c r="L167" s="54" t="n"/>
      <c r="M167" s="54" t="n"/>
      <c r="N167" s="54" t="n"/>
    </row>
    <row r="168" ht="30" customHeight="1" s="44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6" t="n"/>
      <c r="K168" s="54" t="n"/>
      <c r="L168" s="54" t="n"/>
      <c r="M168" s="54" t="n"/>
      <c r="N168" s="54" t="n"/>
    </row>
    <row r="169" ht="30" customHeight="1" s="44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6" t="n"/>
      <c r="K169" s="54" t="n"/>
      <c r="L169" s="54" t="n"/>
      <c r="M169" s="54" t="n"/>
      <c r="N169" s="54" t="n"/>
    </row>
    <row r="170" ht="30" customHeight="1" s="44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6" t="n"/>
      <c r="K170" s="54" t="n"/>
      <c r="L170" s="54" t="n"/>
      <c r="M170" s="54" t="n"/>
      <c r="N170" s="54" t="n"/>
    </row>
    <row r="171" ht="30" customHeight="1" s="44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6" t="n"/>
      <c r="K171" s="54" t="n"/>
      <c r="L171" s="54" t="n"/>
      <c r="M171" s="54" t="n"/>
      <c r="N171" s="54" t="n"/>
    </row>
    <row r="172" ht="30" customHeight="1" s="44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6" t="n"/>
      <c r="K172" s="54" t="n"/>
      <c r="L172" s="54" t="n"/>
      <c r="M172" s="54" t="n"/>
      <c r="N172" s="54" t="n"/>
    </row>
    <row r="173" ht="30" customHeight="1" s="44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6" t="n"/>
      <c r="K173" s="54" t="n"/>
      <c r="L173" s="54" t="n"/>
      <c r="M173" s="54" t="n"/>
      <c r="N173" s="54" t="n"/>
    </row>
    <row r="174" ht="30" customHeight="1" s="4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6" t="n"/>
      <c r="K174" s="54" t="n"/>
      <c r="L174" s="54" t="n"/>
      <c r="M174" s="54" t="n"/>
      <c r="N174" s="54" t="n"/>
    </row>
    <row r="175" ht="30" customHeight="1" s="44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6" t="n"/>
      <c r="K175" s="54" t="n"/>
      <c r="L175" s="54" t="n"/>
      <c r="M175" s="54" t="n"/>
      <c r="N175" s="54" t="n"/>
    </row>
    <row r="176" ht="30" customHeight="1" s="44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6" t="n"/>
      <c r="K176" s="54" t="n"/>
      <c r="L176" s="54" t="n"/>
      <c r="M176" s="54" t="n"/>
      <c r="N176" s="54" t="n"/>
    </row>
    <row r="177" ht="30" customHeight="1" s="44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6" t="n"/>
      <c r="K177" s="54" t="n"/>
      <c r="L177" s="54" t="n"/>
      <c r="M177" s="54" t="n"/>
      <c r="N177" s="54" t="n"/>
    </row>
    <row r="178" ht="30" customHeight="1" s="44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6" t="n"/>
      <c r="K178" s="54" t="n"/>
      <c r="L178" s="54" t="n"/>
      <c r="M178" s="54" t="n"/>
      <c r="N178" s="54" t="n"/>
    </row>
    <row r="179" ht="30" customHeight="1" s="44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6" t="n"/>
      <c r="K179" s="54" t="n"/>
      <c r="L179" s="54" t="n"/>
      <c r="M179" s="54" t="n"/>
      <c r="N179" s="54" t="n"/>
    </row>
    <row r="180" ht="30" customHeight="1" s="44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6" t="n"/>
      <c r="K180" s="54" t="n"/>
      <c r="L180" s="54" t="n"/>
      <c r="M180" s="54" t="n"/>
      <c r="N180" s="54" t="n"/>
    </row>
    <row r="181" ht="30" customHeight="1" s="44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6" t="n"/>
      <c r="K181" s="54" t="n"/>
      <c r="L181" s="54" t="n"/>
      <c r="M181" s="54" t="n"/>
      <c r="N181" s="54" t="n"/>
    </row>
    <row r="182" ht="30" customHeight="1" s="44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6" t="n"/>
      <c r="K182" s="54" t="n"/>
      <c r="L182" s="54" t="n"/>
      <c r="M182" s="54" t="n"/>
      <c r="N182" s="54" t="n"/>
    </row>
    <row r="183" ht="30" customHeight="1" s="44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6" t="n"/>
      <c r="K183" s="54" t="n"/>
      <c r="L183" s="54" t="n"/>
      <c r="M183" s="54" t="n"/>
      <c r="N183" s="54" t="n"/>
    </row>
    <row r="184" ht="30" customHeight="1" s="4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6" t="n"/>
      <c r="K184" s="54" t="n"/>
      <c r="L184" s="54" t="n"/>
      <c r="M184" s="54" t="n"/>
      <c r="N184" s="54" t="n"/>
    </row>
    <row r="185" ht="30" customHeight="1" s="44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6" t="n"/>
      <c r="K185" s="54" t="n"/>
      <c r="L185" s="54" t="n"/>
      <c r="M185" s="54" t="n"/>
      <c r="N185" s="54" t="n"/>
    </row>
    <row r="186" ht="30" customHeight="1" s="44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6" t="n"/>
      <c r="K186" s="54" t="n"/>
      <c r="L186" s="54" t="n"/>
      <c r="M186" s="54" t="n"/>
      <c r="N186" s="54" t="n"/>
    </row>
    <row r="187" ht="30" customHeight="1" s="44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6" t="n"/>
      <c r="K187" s="54" t="n"/>
      <c r="L187" s="54" t="n"/>
      <c r="M187" s="54" t="n"/>
      <c r="N187" s="54" t="n"/>
    </row>
    <row r="188" ht="30" customHeight="1" s="44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6" t="n"/>
      <c r="K188" s="54" t="n"/>
      <c r="L188" s="54" t="n"/>
      <c r="M188" s="54" t="n"/>
      <c r="N188" s="54" t="n"/>
    </row>
    <row r="189" ht="30" customHeight="1" s="44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6" t="n"/>
      <c r="K189" s="54" t="n"/>
      <c r="L189" s="54" t="n"/>
      <c r="M189" s="54" t="n"/>
      <c r="N189" s="54" t="n"/>
    </row>
    <row r="190" ht="30" customHeight="1" s="44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6" t="n"/>
      <c r="K190" s="54" t="n"/>
      <c r="L190" s="54" t="n"/>
      <c r="M190" s="54" t="n"/>
      <c r="N190" s="54" t="n"/>
    </row>
    <row r="191" ht="30" customHeight="1" s="44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6" t="n"/>
      <c r="K191" s="54" t="n"/>
      <c r="L191" s="54" t="n"/>
      <c r="M191" s="54" t="n"/>
      <c r="N191" s="54" t="n"/>
    </row>
    <row r="192" ht="30" customHeight="1" s="44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6" t="n"/>
      <c r="K192" s="54" t="n"/>
      <c r="L192" s="54" t="n"/>
      <c r="M192" s="54" t="n"/>
      <c r="N192" s="54" t="n"/>
    </row>
    <row r="193" ht="30" customHeight="1" s="44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6" t="n"/>
      <c r="K193" s="54" t="n"/>
      <c r="L193" s="54" t="n"/>
      <c r="M193" s="54" t="n"/>
      <c r="N193" s="54" t="n"/>
    </row>
    <row r="194" ht="30" customHeight="1" s="4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6" t="n"/>
      <c r="K194" s="54" t="n"/>
      <c r="L194" s="54" t="n"/>
      <c r="M194" s="54" t="n"/>
      <c r="N194" s="54" t="n"/>
    </row>
    <row r="195" ht="30" customHeight="1" s="44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6" t="n"/>
      <c r="K195" s="54" t="n"/>
      <c r="L195" s="54" t="n"/>
      <c r="M195" s="54" t="n"/>
      <c r="N195" s="54" t="n"/>
    </row>
    <row r="196" ht="30" customHeight="1" s="44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6" t="n"/>
      <c r="K196" s="54" t="n"/>
      <c r="L196" s="54" t="n"/>
      <c r="M196" s="54" t="n"/>
      <c r="N196" s="54" t="n"/>
    </row>
    <row r="197" ht="30" customHeight="1" s="44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6" t="n"/>
      <c r="K197" s="54" t="n"/>
      <c r="L197" s="54" t="n"/>
      <c r="M197" s="54" t="n"/>
      <c r="N197" s="54" t="n"/>
    </row>
    <row r="198" ht="30" customHeight="1" s="44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6" t="n"/>
      <c r="K198" s="54" t="n"/>
      <c r="L198" s="54" t="n"/>
      <c r="M198" s="54" t="n"/>
      <c r="N198" s="54" t="n"/>
    </row>
    <row r="199" ht="30" customHeight="1" s="44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6" t="n"/>
      <c r="K199" s="54" t="n"/>
      <c r="L199" s="54" t="n"/>
      <c r="M199" s="54" t="n"/>
      <c r="N199" s="54" t="n"/>
    </row>
    <row r="200" ht="30" customHeight="1" s="44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6" t="n"/>
      <c r="K200" s="54" t="n"/>
      <c r="L200" s="54" t="n"/>
      <c r="M200" s="54" t="n"/>
      <c r="N200" s="54" t="n"/>
    </row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autoFilter ref="A2:N200"/>
  <mergeCells count="10">
    <mergeCell ref="B52:B62"/>
    <mergeCell ref="B18:B30"/>
    <mergeCell ref="B31:B41"/>
    <mergeCell ref="B12:B14"/>
    <mergeCell ref="C1:D1"/>
    <mergeCell ref="B70:B71"/>
    <mergeCell ref="B3:B11"/>
    <mergeCell ref="B42:B51"/>
    <mergeCell ref="B15:B17"/>
    <mergeCell ref="B63:B69"/>
  </mergeCells>
  <dataValidations count="3">
    <dataValidation sqref="M3:M200" showDropDown="0" showInputMessage="0" showErrorMessage="0" allowBlank="1" type="list" errorStyle="stop" operator="between">
      <formula1>"비회원,회원,작성자 본인,관리자"</formula1>
      <formula2>0</formula2>
    </dataValidation>
    <dataValidation sqref="I3:I200" showDropDown="0" showInputMessage="0" showErrorMessage="0" allowBlank="1" type="list" errorStyle="stop" operator="between">
      <formula1>"RAG,AI Agent,멀티모달,자동화,Memory"</formula1>
      <formula2>0</formula2>
    </dataValidation>
    <dataValidation sqref="J3:J200" showDropDown="0" showInputMessage="0" showErrorMessage="0" allowBlank="1" type="list" errorStyle="stop" operator="between">
      <formula1>"Must,Should,Could,Won't"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44" min="1" max="1"/>
    <col width="10" customWidth="1" style="44" min="2" max="2"/>
    <col width="14" customWidth="1" style="44" min="3" max="3"/>
    <col width="58" customWidth="1" style="44" min="4" max="4"/>
    <col width="40" customWidth="1" style="44" min="5" max="5"/>
    <col width="46" customWidth="1" style="44" min="6" max="6"/>
    <col width="10" customWidth="1" style="44" min="7" max="7"/>
    <col width="22" customWidth="1" style="44" min="8" max="8"/>
    <col width="36" customWidth="1" style="44" min="9" max="9"/>
  </cols>
  <sheetData>
    <row r="1" ht="19.5" customHeight="1" s="44">
      <c r="A1" s="68" t="inlineStr">
        <is>
          <t>ID ★</t>
        </is>
      </c>
      <c r="B1" s="68" t="inlineStr">
        <is>
          <t>분류</t>
        </is>
      </c>
      <c r="C1" s="68" t="inlineStr">
        <is>
          <t>항목</t>
        </is>
      </c>
      <c r="D1" s="68" t="inlineStr">
        <is>
          <t>요구 내용</t>
        </is>
      </c>
      <c r="E1" s="68" t="inlineStr">
        <is>
          <t>측정·검증 기준</t>
        </is>
      </c>
      <c r="F1" s="68" t="inlineStr">
        <is>
          <t>구현 위치 (근거)</t>
        </is>
      </c>
      <c r="G1" s="68" t="inlineStr">
        <is>
          <t>현황</t>
        </is>
      </c>
      <c r="H1" s="68" t="inlineStr">
        <is>
          <t>관련 기능</t>
        </is>
      </c>
      <c r="I1" s="68" t="inlineStr">
        <is>
          <t>비고</t>
        </is>
      </c>
    </row>
    <row r="2" ht="75" customHeight="1" s="44">
      <c r="A2" s="54" t="inlineStr">
        <is>
          <t>NFR-SEC-01</t>
        </is>
      </c>
      <c r="B2" s="54" t="inlineStr">
        <is>
          <t>보안</t>
        </is>
      </c>
      <c r="C2" s="54" t="inlineStr">
        <is>
          <t>인증 보호</t>
        </is>
      </c>
      <c r="D2" s="54" t="inlineStr">
        <is>
          <t>로그인 5회 연속 실패 시 60초 잠금 · 실패 사유 문구 통일로 계정 존재 여부 비노출(로그인·비밀번호 재설정) · 로그인 화면에 비밀번호 조합 규칙 미노출. 단, 회원가입의 중복 이메일은 '이미 가입된 이메일입니다'로 안내 (09-30 팀 결정) · 이메일 가입은 인증 메일 확인 후 로그인 — 인증 전 로그인은 비밀번호가 맞을 때만 '인증 필요' 안내, 재발송은 가입 여부와 상관없이 같은 문구 (10-12)</t>
        </is>
      </c>
      <c r="E2" s="54" t="inlineStr">
        <is>
          <t>같은 이메일 5회 실패 → 6번째 429 · 없는 이메일/틀린 비밀번호 문구 동일</t>
        </is>
      </c>
      <c r="F2" s="54" t="inlineStr">
        <is>
          <t>backend/services/login_guard.py · routers/auth.py · tests/test_login_lock_contest_fix.py</t>
        </is>
      </c>
      <c r="G2" s="54" t="inlineStr">
        <is>
          <t>충족</t>
        </is>
      </c>
      <c r="H2" s="54" t="inlineStr">
        <is>
          <t>FR-AUTH-01 · FR-AUTH-03 · FR-JOIN-01</t>
        </is>
      </c>
      <c r="I2" s="54" t="inlineStr">
        <is>
          <t>잠금 상태는 서버 메모리 — 서버를 다시 켜면 초기화</t>
        </is>
      </c>
    </row>
    <row r="3" ht="75" customHeight="1" s="44">
      <c r="A3" s="54" t="inlineStr">
        <is>
          <t>NFR-SEC-02</t>
        </is>
      </c>
      <c r="B3" s="54" t="inlineStr">
        <is>
          <t>보안</t>
        </is>
      </c>
      <c r="C3" s="54" t="inlineStr">
        <is>
          <t>전송·저장 보안</t>
        </is>
      </c>
      <c r="D3" s="54" t="inlineStr">
        <is>
          <t>전 구간 HTTPS · OAuth 리프레시 토큰은 애플리케이션 레벨 암호화 저장 · 비밀키는 환경변수로만 주입하고 저장소에 커밋 금지</t>
        </is>
      </c>
      <c r="E3" s="54" t="inlineStr">
        <is>
          <t>배포 주소 https · 저장소에 비밀값 0건(커밋 전 검사) · DB 에 OAuth 토큰 컬럼 없음</t>
        </is>
      </c>
      <c r="F3" s="54" t="inlineStr">
        <is>
          <t>Vercel·Railway 기본 HTTPS · .gitignore(.env) · routers/google_calendar.py(access_type=online, 읽은 직후 revoke)</t>
        </is>
      </c>
      <c r="G3" s="54" t="inlineStr">
        <is>
          <t>충족</t>
        </is>
      </c>
      <c r="H3" s="54" t="inlineStr">
        <is>
          <t>FR-PLAN-01 · FR-AUTH-02</t>
        </is>
      </c>
      <c r="I3" s="54" t="inlineStr">
        <is>
          <t>구글 캘린더 토큰을 아예 저장하지 않도록 바꿔 '암호화 저장'보다 강하게 충족 (10-01)</t>
        </is>
      </c>
    </row>
    <row r="4" ht="75" customHeight="1" s="44">
      <c r="A4" s="54" t="inlineStr">
        <is>
          <t>NFR-SEC-03</t>
        </is>
      </c>
      <c r="B4" s="54" t="inlineStr">
        <is>
          <t>보안</t>
        </is>
      </c>
      <c r="C4" s="54" t="inlineStr">
        <is>
          <t>비밀번호 정책</t>
        </is>
      </c>
      <c r="D4" s="54" t="inlineStr">
        <is>
          <t>bcrypt 해시 · 8~64자 영문·숫자·특수문자 각 1자 이상 · 이메일·닉네임 포함 및 상위 1만 건 빈출 비밀번호 거부</t>
        </is>
      </c>
      <c r="E4" s="54" t="inlineStr">
        <is>
          <t>규칙 위반 가입·재설정 요청 400 · 입력 중 충족 여부 실시간 표시</t>
        </is>
      </c>
      <c r="F4" s="54" t="inlineStr">
        <is>
          <t>Supabase Auth(bcrypt) · schemas/user.py · services/password_policy.py · data/common_passwords.txt · frontend/lib/password-feedback.js</t>
        </is>
      </c>
      <c r="G4" s="54" t="inlineStr">
        <is>
          <t>충족</t>
        </is>
      </c>
      <c r="H4" s="54" t="inlineStr">
        <is>
          <t>FR-JOIN-01 · FR-AUTH-03</t>
        </is>
      </c>
      <c r="I4" s="54" t="inlineStr">
        <is>
          <t>빈출 목록: zxcvbn 4.5.0(MIT) 상위 1만 개</t>
        </is>
      </c>
    </row>
    <row r="5" ht="75" customHeight="1" s="44">
      <c r="A5" s="54" t="inlineStr">
        <is>
          <t>NFR-SEC-04</t>
        </is>
      </c>
      <c r="B5" s="54" t="inlineStr">
        <is>
          <t>보안</t>
        </is>
      </c>
      <c r="C5" s="54" t="inlineStr">
        <is>
          <t>남용 방지</t>
        </is>
      </c>
      <c r="D5" s="54" t="inlineStr">
        <is>
          <t>비회원 AI 호출 24시간 3회 제한 · IP는 해시로만 보관하고 24시간 후 파기 · 자동화 의심 시 캡차</t>
        </is>
      </c>
      <c r="E5" s="54" t="inlineStr">
        <is>
          <t>같은 세션 4번째 추천 429 · 세션을 바꿔도 같은 IP 15회 초과 시 429 · 저장소에 IP 원문 없음</t>
        </is>
      </c>
      <c r="F5" s="54" t="inlineStr">
        <is>
          <t>services/goal_limiter.py · routers/goal.py(client_ip) · tests/test_spec_details.py</t>
        </is>
      </c>
      <c r="G5" s="54" t="inlineStr">
        <is>
          <t>부분</t>
        </is>
      </c>
      <c r="H5" s="54" t="inlineStr">
        <is>
          <t>FR-GOAL-12</t>
        </is>
      </c>
      <c r="I5" s="54" t="inlineStr">
        <is>
          <t>캡차는 외부 서비스 가입이 필요해 제외 — 세션+IP 해시 이중 한도와 AI 비용 한도로 대신함</t>
        </is>
      </c>
    </row>
    <row r="6" ht="75" customHeight="1" s="44">
      <c r="A6" s="54" t="inlineStr">
        <is>
          <t>NFR-PRIV-01</t>
        </is>
      </c>
      <c r="B6" s="54" t="inlineStr">
        <is>
          <t>개인정보</t>
        </is>
      </c>
      <c r="C6" s="54" t="inlineStr">
        <is>
          <t>수집 최소화·고지</t>
        </is>
      </c>
      <c r="D6" s="54" t="inlineStr">
        <is>
          <t>캘린더는 시간대만 사용하고 제목·참석자는 저장·전송하지 않음 · 필수/선택 동의 분리 · 동의 일시 기록 · 최종 로그인 후 12개월 보관</t>
        </is>
      </c>
      <c r="E6" s="54" t="inlineStr">
        <is>
          <t>캘린더 권한 범위 calendar.freebusy 1개 · users.agreed_at · 개인정보 처리방침 고지</t>
        </is>
      </c>
      <c r="F6" s="54" t="inlineStr">
        <is>
          <t>routers/google_calendar.py · components/SignupConsentFields.js · routers/auth.py · app/privacy/page.js</t>
        </is>
      </c>
      <c r="G6" s="54" t="inlineStr">
        <is>
          <t>부분</t>
        </is>
      </c>
      <c r="H6" s="54" t="inlineStr">
        <is>
          <t>FR-JOIN-02 · FR-PLAN-01 · FR-MAIN-06</t>
        </is>
      </c>
      <c r="I6" s="54" t="inlineStr">
        <is>
          <t>'최종 로그인 후 12개월' 휴면 계정 자동 삭제는 미구현 (탈퇴 프로필 1년 보관 후 삭제는 구현)</t>
        </is>
      </c>
    </row>
    <row r="7" ht="75" customHeight="1" s="44">
      <c r="A7" s="54" t="inlineStr">
        <is>
          <t>NFR-PRIV-02</t>
        </is>
      </c>
      <c r="B7" s="54" t="inlineStr">
        <is>
          <t>개인정보</t>
        </is>
      </c>
      <c r="C7" s="54" t="inlineStr">
        <is>
          <t>삭제권</t>
        </is>
      </c>
      <c r="D7" s="54" t="inlineStr">
        <is>
          <t>메모리 항목별·전체 즉시 물리 삭제 · 탈퇴 시 일정·학습기록·메모리·캘린더 토큰 전체 삭제(최대 24시간) · 토큰은 즉시 폐기</t>
        </is>
      </c>
      <c r="E7" s="54" t="inlineStr">
        <is>
          <t>삭제 API 후 행 0건 · 탈퇴 시 auth.users 삭제 → 외래키 cascade</t>
        </is>
      </c>
      <c r="F7" s="54" t="inlineStr">
        <is>
          <t>routers/memories.py · routers/settings.py(withdraw) · migrations/010_withdrawal_retention.sql</t>
        </is>
      </c>
      <c r="G7" s="54" t="inlineStr">
        <is>
          <t>충족</t>
        </is>
      </c>
      <c r="H7" s="54" t="inlineStr">
        <is>
          <t>FR-MEM-02 · FR-MY-04</t>
        </is>
      </c>
      <c r="I7" s="54" t="inlineStr">
        <is>
          <t>캘린더 토큰은 저장하지 않으므로 지울 것이 없음</t>
        </is>
      </c>
    </row>
    <row r="8" ht="75" customHeight="1" s="44">
      <c r="A8" s="54" t="inlineStr">
        <is>
          <t>NFR-ETHIC-01</t>
        </is>
      </c>
      <c r="B8" s="54" t="inlineStr">
        <is>
          <t>AI 윤리</t>
        </is>
      </c>
      <c r="C8" s="54" t="inlineStr">
        <is>
          <t>AI 생성 고지</t>
        </is>
      </c>
      <c r="D8" s="54" t="inlineStr">
        <is>
          <t>AI가 생성한 목표·일정·추천 이유에 'AI 추천' 배지와 부정확 가능성 문구 상시 노출 · 접거나 숨길 수 없음 · 비회원 화면에도 동일 적용</t>
        </is>
      </c>
      <c r="E8" s="54" t="inlineStr">
        <is>
          <t>온보딩·계획·공모전 추천 화면에 배지와 문구 노출 · 가입 시 AI 고지 동의, 문구가 바뀌면 재동의</t>
        </is>
      </c>
      <c r="F8" s="54" t="inlineStr">
        <is>
          <t>components/AiNotice.js · app/onboarding · components/PlanBuilder.js · components/ContestCard.js · components/ReconsentGate.js</t>
        </is>
      </c>
      <c r="G8" s="54" t="inlineStr">
        <is>
          <t>충족</t>
        </is>
      </c>
      <c r="H8" s="54" t="inlineStr">
        <is>
          <t>FR-JOIN-03 · FR-GOAL-05 · FR-CONT-05</t>
        </is>
      </c>
      <c r="I8" s="54" t="inlineStr"/>
    </row>
    <row r="9" ht="75" customHeight="1" s="44">
      <c r="A9" s="54" t="inlineStr">
        <is>
          <t>NFR-ETHIC-02</t>
        </is>
      </c>
      <c r="B9" s="54" t="inlineStr">
        <is>
          <t>AI 윤리</t>
        </is>
      </c>
      <c r="C9" s="54" t="inlineStr">
        <is>
          <t>사실성</t>
        </is>
      </c>
      <c r="D9" s="54" t="inlineStr">
        <is>
          <t>검색된 공고 원문에 없는 내용 생성 금지 · 지원 자격 충족을 단정하지 않고 원문 확인 안내 병기</t>
        </is>
      </c>
      <c r="E9" s="54" t="inlineStr">
        <is>
          <t>추천 이유 사실성 100% (AI 품질 평가 3차) · 기간 계산과 반대인 AI 이유는 템플릿으로 교체</t>
        </is>
      </c>
      <c r="F9" s="54" t="inlineStr">
        <is>
          <t>services/contest_recommender.py · services/goal_recommender.py(reason_consistent) · backend/evals/RESULTS.md</t>
        </is>
      </c>
      <c r="G9" s="54" t="inlineStr">
        <is>
          <t>충족</t>
        </is>
      </c>
      <c r="H9" s="54" t="inlineStr">
        <is>
          <t>FR-CONT-05 · FR-GOAL-05</t>
        </is>
      </c>
      <c r="I9" s="54" t="inlineStr"/>
    </row>
    <row r="10" ht="75" customHeight="1" s="44">
      <c r="A10" s="54" t="inlineStr">
        <is>
          <t>NFR-PERF-01</t>
        </is>
      </c>
      <c r="B10" s="54" t="inlineStr">
        <is>
          <t>성능</t>
        </is>
      </c>
      <c r="C10" s="54" t="inlineStr">
        <is>
          <t>응답 성능</t>
        </is>
      </c>
      <c r="D10" s="54" t="inlineStr">
        <is>
          <t>일반 조회 p95 1초 이내 · AI 생성 20초 타임아웃 · 학습 분해 에이전트는 전체 60초 + 실제 진행 단계 표시 · RAG 검색 5초 타임아웃 후 태그 겹침 검색으로 대체</t>
        </is>
      </c>
      <c r="E10" s="54" t="inlineStr">
        <is>
          <t>에이전트 실측 41~46초 · RAG 관련성 실측 0.9~2.3초 · 시간 초과 시 대체 경로로 응답</t>
        </is>
      </c>
      <c r="F10" s="54" t="inlineStr">
        <is>
          <t>services/decomposer.py(LLM_BUDGET_SECONDS=60) · services/goal_claude.py(5초) · goal_recommender(20초) · POST /plan/decompose/stream</t>
        </is>
      </c>
      <c r="G10" s="54" t="inlineStr">
        <is>
          <t>부분</t>
        </is>
      </c>
      <c r="H10" s="54" t="inlineStr">
        <is>
          <t>FR-PLAN-02 · FR-GOAL-03 · FR-GOAL-05</t>
        </is>
      </c>
      <c r="I10" s="54" t="inlineStr">
        <is>
          <t>일반 조회 p95 는 배포 후 측정 예정</t>
        </is>
      </c>
    </row>
    <row r="11" ht="75" customHeight="1" s="44">
      <c r="A11" s="54" t="inlineStr">
        <is>
          <t>NFR-AVAIL-01</t>
        </is>
      </c>
      <c r="B11" s="54" t="inlineStr">
        <is>
          <t>가용성</t>
        </is>
      </c>
      <c r="C11" s="54" t="inlineStr">
        <is>
          <t>부분 장애 허용</t>
        </is>
      </c>
      <c r="D11" s="54" t="inlineStr">
        <is>
          <t>AI·캘린더·알림 중 하나가 실패해도 나머지 기능은 정상 동작 · 집계 실패 시 직전 값 유지 · 15분 외부 점검으로 가동률 측정 · 헬스체크를 통과한 배포만 트래픽 · 5xx·예외 기록 (10-07)</t>
        </is>
      </c>
      <c r="E11" s="54" t="inlineStr">
        <is>
          <t>AI 키 없음·시간 초과·비용 한도에서도 계획 생성 · 알림 작업 하나 실패해도 워커 계속 · GitHub Actions uptime.yml 가동률 · /health/ready 503 시 배포 차단 · error_logs 요약 (관리자 '운영 상태')</t>
        </is>
      </c>
      <c r="F11" s="54" t="inlineStr">
        <is>
          <t>services/llm.py(None → 대체) · services/template.py · workers/notification_worker.py(_safe) · 야간 재조정 실패 시 기존 일정 유지 · .github/workflows/uptime.yml · deploy-check.yml · main.py /health/ready · utils/error_monitor.py · backend/railway.*.json · docs/operations.md</t>
        </is>
      </c>
      <c r="G11" s="54" t="inlineStr">
        <is>
          <t>충족</t>
        </is>
      </c>
      <c r="H11" s="54" t="inlineStr">
        <is>
          <t>FR-PLAN-02 · FR-PLAN-06 · FR-ALARM-01~04</t>
        </is>
      </c>
      <c r="I11" s="54" t="inlineStr"/>
    </row>
    <row r="12" ht="75" customHeight="1" s="44">
      <c r="A12" s="54" t="inlineStr">
        <is>
          <t>NFR-COST-01</t>
        </is>
      </c>
      <c r="B12" s="54" t="inlineStr">
        <is>
          <t>비용</t>
        </is>
      </c>
      <c r="C12" s="54" t="inlineStr">
        <is>
          <t>비용 상한</t>
        </is>
      </c>
      <c r="D12" s="54" t="inlineStr">
        <is>
          <t>일일 API 비용 임계치 도달 시 신규 AI 호출 차단(비AI 기능 유지) · 비회원 추천을 먼저 차단 · 기능별 비용 분리 집계</t>
        </is>
      </c>
      <c r="E12" s="54" t="inlineStr">
        <is>
          <t>한도 80% 비회원 AI 차단 · 100% 전체 AI 차단 후 규칙으로 대체 · 관리자 화면에 기능별 호출 수</t>
        </is>
      </c>
      <c r="F12" s="54" t="inlineStr">
        <is>
          <t>services/ai_budget.py · GET /admin/ai-budget · components/AdminAiBudget.js</t>
        </is>
      </c>
      <c r="G12" s="54" t="inlineStr">
        <is>
          <t>충족</t>
        </is>
      </c>
      <c r="H12" s="54" t="inlineStr">
        <is>
          <t>FR-ADMIN-02 · FR-GOAL-12</t>
        </is>
      </c>
      <c r="I12" s="54" t="inlineStr">
        <is>
          <t>게이트웨이가 청구액을 주지 않아 호출 수 × 모델별 예상 단가로 어림 (AI_DAILY_BUDGET_USD, 기본 5달러)</t>
        </is>
      </c>
    </row>
    <row r="13" ht="75" customHeight="1" s="44">
      <c r="A13" s="54" t="inlineStr">
        <is>
          <t>NFR-A11Y-01</t>
        </is>
      </c>
      <c r="B13" s="54" t="inlineStr">
        <is>
          <t>접근성</t>
        </is>
      </c>
      <c r="C13" s="54" t="inlineStr">
        <is>
          <t>접근성</t>
        </is>
      </c>
      <c r="D13" s="54" t="inlineStr">
        <is>
          <t>적응형 테마가 바뀌어도 명도 대비는 레벨과 무관하게 WCAG AA 유지 · 색만으로 상태를 구분하지 않음(진도 신호등에 문구 병기)</t>
        </is>
      </c>
      <c r="E13" s="54" t="inlineStr">
        <is>
          <t>진도·알림·공고 상태에 항상 문구 병기 · 레벨별 테마 색은 대비 4.5:1 이상 토큰만 사용</t>
        </is>
      </c>
      <c r="F13" s="54" t="inlineStr">
        <is>
          <t>frontend/lib/ui.js(paceView 문구) · app/globals.css(색 토큰) · components/AdaptiveTheme.js</t>
        </is>
      </c>
      <c r="G13" s="54" t="inlineStr">
        <is>
          <t>충족</t>
        </is>
      </c>
      <c r="H13" s="54" t="inlineStr">
        <is>
          <t>FR-UI-01 · FR-PACE-04</t>
        </is>
      </c>
      <c r="I13" s="54" t="inlineStr">
        <is>
          <t>자동 대비 측정 도구 결과는 발표 전 첨부 예정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3" min="1" max="1"/>
    <col width="30" customWidth="1" style="43" min="2" max="2"/>
    <col width="34" customWidth="1" style="43" min="3" max="3"/>
    <col width="30" customWidth="1" style="43" min="4" max="4"/>
    <col width="34" customWidth="1" style="43" min="5" max="5"/>
    <col width="16" customWidth="1" style="43" min="6" max="6"/>
    <col width="8.710000000000001" customWidth="1" style="43" min="7" max="26"/>
  </cols>
  <sheetData>
    <row r="1" ht="30" customHeight="1" s="44">
      <c r="A1" s="76" t="inlineStr">
        <is>
          <t>AI 기능 명세 — 학습 목표 기반 맞춤 일정 플래너</t>
        </is>
      </c>
    </row>
    <row r="2" ht="15" customHeight="1" s="44">
      <c r="A2" s="46" t="inlineStr">
        <is>
          <t>'기능명세서' 시트에서 AI 활용 열을 채운 행들의 상세 설계를 여기에 적습니다. 해당 없는 표는 삭제하세요. 이 시트가 이 과제의 핵심 차별점입니다.</t>
        </is>
      </c>
    </row>
    <row r="4" ht="24" customHeight="1" s="44">
      <c r="A4" s="77" t="inlineStr">
        <is>
          <t>① AI Agent — 보유 도구</t>
        </is>
      </c>
    </row>
    <row r="5" ht="30" customHeight="1" s="44">
      <c r="A5" s="78" t="inlineStr">
        <is>
          <t>Agent를 쓴다면 도구 목록 / 최대 반복 횟수 / 도구 실패 시 동작 3가지는 반드시 적으세요. '최대 반복'이 없으면 무한 루프로 API 비용이 폭증하는 사고가 실제로 자주 납니다.</t>
        </is>
      </c>
    </row>
    <row r="6" ht="15" customHeight="1" s="44">
      <c r="A6" s="48" t="inlineStr">
        <is>
          <t>도구명</t>
        </is>
      </c>
      <c r="B6" s="48" t="inlineStr">
        <is>
          <t>목적</t>
        </is>
      </c>
      <c r="C6" s="48" t="inlineStr">
        <is>
          <t>입력 파라미터</t>
        </is>
      </c>
      <c r="D6" s="48" t="inlineStr">
        <is>
          <t>반환값</t>
        </is>
      </c>
      <c r="E6" s="48" t="inlineStr">
        <is>
          <t>실패 시 동작</t>
        </is>
      </c>
      <c r="F6" s="48" t="inlineStr">
        <is>
          <t>관련 ID</t>
        </is>
      </c>
    </row>
    <row r="7" ht="27.75" customHeight="1" s="44">
      <c r="A7" s="79" t="inlineStr">
        <is>
          <t>get_goal_catalog</t>
        </is>
      </c>
      <c r="B7" s="54" t="inlineStr">
        <is>
          <t>관심분야에 맞는 자격증·공모전 후보 검색</t>
        </is>
      </c>
      <c r="C7" s="79" t="inlineStr">
        <is>
          <t>interest_tags: str[], k: int = 20</t>
        </is>
      </c>
      <c r="D7" s="54" t="inlineStr">
        <is>
          <t>후보 배열(목표명·표준 학습시간·시험/마감일·자격요건)</t>
        </is>
      </c>
      <c r="E7" s="54" t="inlineStr">
        <is>
          <t>빈 배열 반환 → 관심분야 재입력 요청</t>
        </is>
      </c>
      <c r="F7" s="79" t="inlineStr">
        <is>
          <t>FR-GOAL-03</t>
        </is>
      </c>
    </row>
    <row r="8" ht="27.75" customHeight="1" s="44">
      <c r="A8" s="79" t="inlineStr">
        <is>
          <t>get_available_slots</t>
        </is>
      </c>
      <c r="B8" s="54" t="inlineStr">
        <is>
          <t>캘린더와 수동 입력에서 빈 학습 슬롯 조회</t>
        </is>
      </c>
      <c r="C8" s="79" t="inlineStr">
        <is>
          <t>from_date: date, to_date: date, min_minutes: int = 30</t>
        </is>
      </c>
      <c r="D8" s="54" t="inlineStr">
        <is>
          <t>슬롯 배열(요일·시작·종료·길이)</t>
        </is>
      </c>
      <c r="E8" s="54" t="inlineStr">
        <is>
          <t>캘린더 API 실패 시 수동 입력 가용시간만 반환</t>
        </is>
      </c>
      <c r="F8" s="79" t="inlineStr">
        <is>
          <t>FR-PLAN-01</t>
        </is>
      </c>
    </row>
    <row r="9" ht="27.75" customHeight="1" s="44">
      <c r="A9" s="79" t="inlineStr">
        <is>
          <t>search_curriculum</t>
        </is>
      </c>
      <c r="B9" s="54" t="inlineStr">
        <is>
          <t>목표의 표준 커리큘럼·출제 범위 검색</t>
        </is>
      </c>
      <c r="C9" s="79" t="inlineStr">
        <is>
          <t>goal_id: str, query: str, k: int = 5</t>
        </is>
      </c>
      <c r="D9" s="54" t="inlineStr">
        <is>
          <t>청크 배열(본문·출처·유사도)</t>
        </is>
      </c>
      <c r="E9" s="54" t="inlineStr">
        <is>
          <t>빈 배열 → 일반 학습 템플릿으로 분해하고 추정치임을 표시</t>
        </is>
      </c>
      <c r="F9" s="79" t="inlineStr">
        <is>
          <t>FR-PLAN-02</t>
        </is>
      </c>
    </row>
    <row r="10" ht="27.75" customHeight="1" s="44">
      <c r="A10" s="79" t="inlineStr">
        <is>
          <t>estimate_effort</t>
        </is>
      </c>
      <c r="B10" s="54" t="inlineStr">
        <is>
          <t>학습 단위별 예상 소요시간 추정</t>
        </is>
      </c>
      <c r="C10" s="79" t="inlineStr">
        <is>
          <t>units: str[], level: str</t>
        </is>
      </c>
      <c r="D10" s="54" t="inlineStr">
        <is>
          <t>단위별 예상 소요시간(분)</t>
        </is>
      </c>
      <c r="E10" s="54" t="inlineStr">
        <is>
          <t>실패 시 카탈로그 표준 시간의 단위 평균값 사용</t>
        </is>
      </c>
      <c r="F10" s="79" t="inlineStr">
        <is>
          <t>FR-PLAN-02</t>
        </is>
      </c>
    </row>
    <row r="11" ht="27.75" customHeight="1" s="44">
      <c r="A11" s="79" t="inlineStr">
        <is>
          <t>search_contests</t>
        </is>
      </c>
      <c r="B11" s="54" t="inlineStr">
        <is>
          <t>관심 태그·목표로 공모전 공고 검색</t>
        </is>
      </c>
      <c r="C11" s="79" t="inlineStr">
        <is>
          <t>query: str, deadline_before: date, k: int = 20</t>
        </is>
      </c>
      <c r="D11" s="54" t="inlineStr">
        <is>
          <t>공고 배열(제목·마감일·자격·유사도)</t>
        </is>
      </c>
      <c r="E11" s="54" t="inlineStr">
        <is>
          <t>빈 배열 → '이번 주 추천 없음'으로 표시</t>
        </is>
      </c>
      <c r="F11" s="79" t="inlineStr">
        <is>
          <t>FR-CONT-04</t>
        </is>
      </c>
    </row>
    <row r="12" ht="27.75" customHeight="1" s="44">
      <c r="A12" s="79" t="inlineStr">
        <is>
          <t>save_plan</t>
        </is>
      </c>
      <c r="B12" s="54" t="inlineStr">
        <is>
          <t>확정된 학습 블록을 일정에 저장</t>
        </is>
      </c>
      <c r="C12" s="79" t="inlineStr">
        <is>
          <t>blocks: Block[], goal_id: str</t>
        </is>
      </c>
      <c r="D12" s="54" t="inlineStr">
        <is>
          <t>저장 결과 + 생성된 블록 ID 배열</t>
        </is>
      </c>
      <c r="E12" s="54" t="inlineStr">
        <is>
          <t>저장 실패 시 전체 롤백 후 재시도 버튼 노출 (사용자 확인 필요 도구)</t>
        </is>
      </c>
      <c r="F12" s="79" t="inlineStr">
        <is>
          <t>FR-PLAN-03</t>
        </is>
      </c>
    </row>
    <row r="15" ht="24" customHeight="1" s="44">
      <c r="A15" s="77" t="inlineStr">
        <is>
          <t>② AI Agent — 실행 정책</t>
        </is>
      </c>
    </row>
    <row r="16" ht="30" customHeight="1" s="44">
      <c r="A16" s="80" t="inlineStr">
        <is>
          <t>최대 도구 호출 반복 / 반복 초과 시 동작 / 도구 선택 불가 시 동작 / 사용자 확인이 필요한 도구(삭제·발송처럼 되돌릴 수 없는 것)를 적습니다.</t>
        </is>
      </c>
    </row>
    <row r="17" ht="15" customHeight="1" s="44">
      <c r="A17" s="48" t="inlineStr">
        <is>
          <t>항목</t>
        </is>
      </c>
      <c r="B17" s="48" t="inlineStr">
        <is>
          <t>설정값</t>
        </is>
      </c>
      <c r="C17" s="48" t="inlineStr">
        <is>
          <t>그렇게 정한 이유</t>
        </is>
      </c>
    </row>
    <row r="18" ht="27.75" customHeight="1" s="44">
      <c r="A18" s="54" t="inlineStr">
        <is>
          <t>최대 도구 호출 반복</t>
        </is>
      </c>
      <c r="B18" s="79" t="inlineStr">
        <is>
          <t>5회</t>
        </is>
      </c>
      <c r="C18" s="79" t="inlineStr">
        <is>
          <t>3회로는 커리큘럼 검색 → 소요시간 추정 → 배치 연계가 끊겼고, 8회 이상은 결과 차이 없이 비용만 증가</t>
        </is>
      </c>
    </row>
    <row r="19" ht="27.75" customHeight="1" s="44">
      <c r="A19" s="54" t="inlineStr">
        <is>
          <t>반복 초과 시 동작</t>
        </is>
      </c>
      <c r="B19" s="54" t="inlineStr">
        <is>
          <t>그때까지 분해된 단위로 일정을 만들고 '일부만 생성됨' 배지 표시</t>
        </is>
      </c>
      <c r="C19" s="54" t="inlineStr">
        <is>
          <t>아무것도 만들지 못하면 사용자가 다음 행동을 할 수 없음</t>
        </is>
      </c>
    </row>
    <row r="20" ht="27.75" customHeight="1" s="44">
      <c r="A20" s="54" t="inlineStr">
        <is>
          <t>도구 선택 불가 시</t>
        </is>
      </c>
      <c r="B20" s="54" t="inlineStr">
        <is>
          <t>표준 커리큘럼 템플릿으로 분해하고 추정 기반임을 화면에 명시</t>
        </is>
      </c>
      <c r="C20" s="54" t="inlineStr">
        <is>
          <t>근거 없는 분해를 근거 있는 것처럼 보이게 하면 안 됨</t>
        </is>
      </c>
    </row>
    <row r="21" ht="27.75" customHeight="1" s="44">
      <c r="A21" s="54" t="inlineStr">
        <is>
          <t>사용자 확인 필요 도구</t>
        </is>
      </c>
      <c r="B21" s="79" t="inlineStr">
        <is>
          <t>save_plan / 구글 캘린더 쓰기(FR-PLAN-08)</t>
        </is>
      </c>
      <c r="C21" s="54" t="inlineStr">
        <is>
          <t>실제 캘린더에 이벤트가 생성되는 되돌리기 어려운 동작</t>
        </is>
      </c>
    </row>
    <row r="22" ht="27.75" customHeight="1" s="44">
      <c r="A22" s="54" t="inlineStr">
        <is>
          <t>배치 실행 시 상한</t>
        </is>
      </c>
      <c r="B22" s="54" t="inlineStr">
        <is>
          <t>야간 재조정은 사용자당 도구 호출 3회</t>
        </is>
      </c>
      <c r="C22" s="54" t="inlineStr">
        <is>
          <t>무인 실행이라 반복 상한이 없으면 비용이 그대로 폭증</t>
        </is>
      </c>
    </row>
    <row r="23" ht="15.75" customHeight="1" s="44">
      <c r="A23" s="81" t="inlineStr">
        <is>
          <t>호출 로깅</t>
        </is>
      </c>
      <c r="B23" s="81" t="inlineStr">
        <is>
          <t>도구명·파라미터·소요시간·토큰 수·성공 여부 전량 기록</t>
        </is>
      </c>
      <c r="C23" s="81" t="inlineStr">
        <is>
          <t>실패 원인 추적과 FR-ADMIN-02 대시보드의 근거</t>
        </is>
      </c>
    </row>
    <row r="24" ht="15.75" customHeight="1" s="44"/>
    <row r="25" ht="24" customHeight="1" s="44">
      <c r="A25" s="77" t="inlineStr">
        <is>
          <t>③ RAG 파이프라인 파라미터 — 09-29 변경: 임베딩 미사용, Claude 관련성 판단</t>
        </is>
      </c>
    </row>
    <row r="26" ht="30" customHeight="1" s="44">
      <c r="A26" s="80" t="inlineStr">
        <is>
          <t>숫자를 적고, 옆에 '왜 그 값인지'를 한 줄씩 붙이세요. '0.72'만 있으면 임의로 정한 값처럼 보이고, 근거가 붙으면 실험 결과로 읽힙니다. 청킹 크기 / 오버랩 / 임베딩 모델 / 검색 방식 / top-k / 유사도 임계값 / 재순위화.</t>
        </is>
      </c>
    </row>
    <row r="27" ht="15.75" customHeight="1" s="44">
      <c r="A27" s="48" t="inlineStr">
        <is>
          <t>단계</t>
        </is>
      </c>
      <c r="B27" s="48" t="inlineStr">
        <is>
          <t>설정값</t>
        </is>
      </c>
      <c r="C27" s="48" t="inlineStr">
        <is>
          <t>선정 근거</t>
        </is>
      </c>
      <c r="D27" s="48" t="inlineStr">
        <is>
          <t>비고</t>
        </is>
      </c>
    </row>
    <row r="28" ht="27.75" customHeight="1" s="44">
      <c r="A28" s="54" t="inlineStr">
        <is>
          <t>대상 컬렉션</t>
        </is>
      </c>
      <c r="B28" s="54" t="inlineStr">
        <is>
          <t>목표 카탈로그(자격증·공모전 요강) / 공모전 공고</t>
        </is>
      </c>
      <c r="C28" s="54" t="inlineStr">
        <is>
          <t>스키마와 갱신 주기가 달라 한 인덱스에 섞으면 필터 조건이 충돌</t>
        </is>
      </c>
      <c r="D28" s="54" t="inlineStr">
        <is>
          <t>컬렉션 분리</t>
        </is>
      </c>
    </row>
    <row r="29" ht="27.75" customHeight="1" s="44">
      <c r="A29" s="54" t="inlineStr">
        <is>
          <t>문서 로더</t>
        </is>
      </c>
      <c r="B29" s="54" t="inlineStr">
        <is>
          <t>목표: 팀이 검수한 카탈로그(코드 안 목록) / 공고: 위비티 목록 파서(제목·링크·출처만)</t>
        </is>
      </c>
      <c r="C29" s="54" t="inlineStr">
        <is>
          <t>공고는 사용 허락 범위인 제목·링크만 수집</t>
        </is>
      </c>
      <c r="D29" s="54" t="n"/>
    </row>
    <row r="30" ht="27.75" customHeight="1" s="44">
      <c r="A30" s="54" t="inlineStr">
        <is>
          <t>청킹 크기</t>
        </is>
      </c>
      <c r="B30" s="79" t="inlineStr">
        <is>
          <t>없음 (문서 하나를 통째로)</t>
        </is>
      </c>
      <c r="C30" s="54" t="inlineStr">
        <is>
          <t>카탈로그 항목(제목·분야·태그)과 공고 제목은 수십 자라 자를 것이 없음</t>
        </is>
      </c>
      <c r="D30" s="54" t="inlineStr">
        <is>
          <t>처음 계획 600자는 공고 본문 기준 — 본문을 수집하지 않게 되어 제외</t>
        </is>
      </c>
    </row>
    <row r="31" ht="27.75" customHeight="1" s="44">
      <c r="A31" s="54" t="inlineStr">
        <is>
          <t>오버랩</t>
        </is>
      </c>
      <c r="B31" s="79" t="inlineStr">
        <is>
          <t>없음</t>
        </is>
      </c>
      <c r="C31" s="79" t="inlineStr">
        <is>
          <t>청킹을 하지 않으므로 해당 없음</t>
        </is>
      </c>
      <c r="D31" s="54" t="n"/>
    </row>
    <row r="32" ht="27.75" customHeight="1" s="44">
      <c r="A32" s="54" t="inlineStr">
        <is>
          <t>관련성 판단 모델</t>
        </is>
      </c>
      <c r="B32" s="79" t="inlineStr">
        <is>
          <t>Claude Haiku 4 (claude-haiku-4)</t>
        </is>
      </c>
      <c r="C32" s="54" t="inlineStr">
        <is>
          <t>교육 게이트웨이에 임베딩 API가 없음. 별도 제공자(OpenAI)를 붙이면 키·비용 관리가 둘로 갈림. 짧고 잦은 호출이라 빠른 모델 — 실측 0.9~2.3초</t>
        </is>
      </c>
      <c r="D32" s="54" t="inlineStr">
        <is>
          <t>09-29 변경 (처음 계획: text-embedding-3-small)</t>
        </is>
      </c>
    </row>
    <row r="33" ht="27.75" customHeight="1" s="44">
      <c r="A33" s="54" t="inlineStr">
        <is>
          <t>후보 저장소</t>
        </is>
      </c>
      <c r="B33" s="79" t="inlineStr">
        <is>
          <t>목표: 코드 안 카탈로그 / 공고: PostgreSQL contests</t>
        </is>
      </c>
      <c r="C33" s="54" t="inlineStr">
        <is>
          <t>후보가 목표 50건·공고 20건 규모라 프롬프트에 그대로 넣을 수 있어 벡터 색인이 필요 없음</t>
        </is>
      </c>
      <c r="D33" s="54" t="n"/>
    </row>
    <row r="34" ht="27.75" customHeight="1" s="44">
      <c r="A34" s="54" t="inlineStr">
        <is>
          <t>검색 방식</t>
        </is>
      </c>
      <c r="B34" s="54" t="inlineStr">
        <is>
          <t>메타 필터(마감일 ≥ 오늘, 상태) → 후보를 Claude에 전달 → 관련성 점수(0~1)</t>
        </is>
      </c>
      <c r="C34" s="54" t="inlineStr">
        <is>
          <t>필터 없이 검색하면 이미 마감된 공고가 상위에 올라오는 문제를 1차 테스트에서 확인</t>
        </is>
      </c>
      <c r="D34" s="54" t="inlineStr">
        <is>
          <t>응답에 입력에 없는 ID·0~1 밖 점수가 하나라도 있으면 전체 폐기 → 태그 겹침(목표)·제목 키워드(공고) 검색으로 대체</t>
        </is>
      </c>
    </row>
    <row r="35" ht="27.75" customHeight="1" s="44">
      <c r="A35" s="79" t="inlineStr">
        <is>
          <t>top-k</t>
        </is>
      </c>
      <c r="B35" s="54" t="inlineStr">
        <is>
          <t>후보 20건(공고)·카탈로그 전체(목표) → 재랭킹 후 상위 5건</t>
        </is>
      </c>
      <c r="C35" s="79" t="inlineStr">
        <is>
          <t>후보가 적어 전부 넣어도 토큰이 작음</t>
        </is>
      </c>
      <c r="D35" s="54" t="n"/>
    </row>
    <row r="36" ht="27.75" customHeight="1" s="44">
      <c r="A36" s="54" t="inlineStr">
        <is>
          <t>관련성 임계값</t>
        </is>
      </c>
      <c r="B36" s="54" t="inlineStr">
        <is>
          <t>Claude 점수 0.62(공모전) / 0.60(목표 후보)</t>
        </is>
      </c>
      <c r="C36" s="79" t="inlineStr">
        <is>
          <t>처음 코사인 기준으로 정한 값을 그대로 옮김. 09-29 실측: 관련 질의 0.85~0.95, 무관 질의는 결과 없음</t>
        </is>
      </c>
      <c r="D36" s="54" t="inlineStr">
        <is>
          <t>측정 이력에서 정답셋으로 재확인</t>
        </is>
      </c>
    </row>
    <row r="37" ht="15.75" customHeight="1" s="44">
      <c r="A37" s="81" t="inlineStr">
        <is>
          <t>재랭킹</t>
        </is>
      </c>
      <c r="B37" s="81" t="inlineStr">
        <is>
          <t>유사도 0.5 + 마감 임박도 0.3 + 자격 적합도 0.2 가중합</t>
        </is>
      </c>
      <c r="C37" s="81" t="inlineStr">
        <is>
          <t>유사도만 쓰면 준비 기간이 부족한 공고가 상위에 남아 실제로 지원할 수 없음</t>
        </is>
      </c>
      <c r="D37" s="81" t="inlineStr">
        <is>
          <t>가중치는 측정 이력에서 조정</t>
        </is>
      </c>
    </row>
    <row r="38" ht="15.75" customHeight="1" s="44">
      <c r="A38" s="82" t="inlineStr">
        <is>
          <t>검색 쿼리 소스</t>
        </is>
      </c>
      <c r="B38" s="82" t="inlineStr">
        <is>
          <t>① 입력 관심 태그 ② 진행 중·최근 목표 태그(회원) ③ 세션 내 조회 공고 분야(비회원)</t>
        </is>
      </c>
      <c r="C38" s="82" t="inlineStr">
        <is>
          <t>관심분야 입력을 필수에서 제외해 쿼리가 비는 경우가 생김. 세 소스가 모두 없으면 검색 대신 인기 목표 목록으로 대체</t>
        </is>
      </c>
      <c r="D38" s="43" t="inlineStr">
        <is>
          <t>FR-GOAL-11 / 콜드스타트 경로</t>
        </is>
      </c>
    </row>
    <row r="39" ht="24" customHeight="1" s="44">
      <c r="A39" s="83" t="inlineStr">
        <is>
          <t>④ 프롬프트 설계</t>
        </is>
      </c>
    </row>
    <row r="40" ht="30" customHeight="1" s="44">
      <c r="A40" s="80" t="inlineStr">
        <is>
          <t>프롬프트 전문을 여기 붙이지 말고 '역할 / 제약 / 출력 형식'만 요약하세요. 전문은 별도 파일로.</t>
        </is>
      </c>
    </row>
    <row r="41" ht="15.75" customHeight="1" s="44">
      <c r="A41" s="48" t="inlineStr">
        <is>
          <t>프롬프트</t>
        </is>
      </c>
      <c r="B41" s="48" t="inlineStr">
        <is>
          <t>역할</t>
        </is>
      </c>
      <c r="C41" s="48" t="inlineStr">
        <is>
          <t>주요 제약</t>
        </is>
      </c>
      <c r="D41" s="48" t="inlineStr">
        <is>
          <t>출력 형식</t>
        </is>
      </c>
    </row>
    <row r="42" ht="27.75" customHeight="1" s="44">
      <c r="A42" s="54" t="inlineStr">
        <is>
          <t>공통 시스템</t>
        </is>
      </c>
      <c r="B42" s="54" t="inlineStr">
        <is>
          <t>학습 코치 페르소나</t>
        </is>
      </c>
      <c r="C42" s="54" t="inlineStr">
        <is>
          <t>모르면 모른다고 답할 것 / 캘린더 일정의 제목·참석자는 프롬프트에 넣지 않고 시간대만 사용</t>
        </is>
      </c>
      <c r="D42" s="79" t="inlineStr">
        <is>
          <t>-</t>
        </is>
      </c>
    </row>
    <row r="43" ht="27.75" customHeight="1" s="44">
      <c r="A43" s="54" t="inlineStr">
        <is>
          <t>목표 추천</t>
        </is>
      </c>
      <c r="B43" s="54" t="inlineStr">
        <is>
          <t>관심분야 기반 목표 큐레이터</t>
        </is>
      </c>
      <c r="C43" s="54" t="inlineStr">
        <is>
          <t>검색된 후보 범위 밖의 목표를 만들지 말 것 / 기간 적합성 계산 결과를 뒤집지 말 것 / 이유는 2문장 이내</t>
        </is>
      </c>
      <c r="D43" s="79" t="inlineStr">
        <is>
          <t>JSON(goal_id, reason)</t>
        </is>
      </c>
    </row>
    <row r="44" ht="27.75" customHeight="1" s="44">
      <c r="A44" s="54" t="inlineStr">
        <is>
          <t>학습 분해</t>
        </is>
      </c>
      <c r="B44" s="54" t="inlineStr">
        <is>
          <t>커리큘럼 설계자</t>
        </is>
      </c>
      <c r="C44" s="54" t="inlineStr">
        <is>
          <t>단위(주제)는 30~600분 — 같은 주제 반복은 단위를 쪼개지 않고 시간을 늘림, 배치는 120분 이하 블록으로 / 표준 학습시간이 주어지면 단위 합을 맞춤 / 선행 관계 명시 / 검색된 커리큘럼 밖의 내용은 추정임을 표시</t>
        </is>
      </c>
      <c r="D44" s="79" t="inlineStr">
        <is>
          <t>JSON 스키마 고정</t>
        </is>
      </c>
    </row>
    <row r="45" ht="27.75" customHeight="1" s="44">
      <c r="A45" s="54" t="inlineStr">
        <is>
          <t>추천 이유</t>
        </is>
      </c>
      <c r="B45" s="54" t="inlineStr">
        <is>
          <t>공모전 큐레이터</t>
        </is>
      </c>
      <c r="C45" s="54" t="inlineStr">
        <is>
          <t>공고에 적힌 사실만 사용 / 지원 자격 충족을 단정하지 말 것 / 1문장</t>
        </is>
      </c>
      <c r="D45" s="54" t="inlineStr">
        <is>
          <t>평문</t>
        </is>
      </c>
    </row>
    <row r="46" ht="27.75" customHeight="1" s="44">
      <c r="A46" s="54" t="inlineStr">
        <is>
          <t>재조정 사유 요약</t>
        </is>
      </c>
      <c r="B46" s="54" t="inlineStr">
        <is>
          <t>일정 도우미</t>
        </is>
      </c>
      <c r="C46" s="79" t="inlineStr">
        <is>
          <t>100자 이내 / 사용자를 책망하는 표현 금지 / 다음 행동을 한 가지만 제안</t>
        </is>
      </c>
      <c r="D46" s="54" t="inlineStr">
        <is>
          <t>평문</t>
        </is>
      </c>
    </row>
    <row r="47" ht="27.75" customHeight="1" s="44">
      <c r="A47" s="54" t="inlineStr">
        <is>
          <t>블록 공부 방법 (10-12 추가)</t>
        </is>
      </c>
      <c r="B47" s="54" t="inlineStr">
        <is>
          <t>학습 코치</t>
        </is>
      </c>
      <c r="C47" s="79" t="inlineStr">
        <is>
          <t>같은 단원의 블록(1/3·2/3·3/3)을 한 번에 — 처음 배우기 → 넓히기 → 정리·확인, 겹치지 않게 / 계획의 다른 단원 주제는 다루지 않음 / 교재·시험 사실을 지어내지 않음 / 팁은 받지 않음</t>
        </is>
      </c>
      <c r="D47" s="54" t="inlineStr">
        <is>
          <t>JSON(blocks[part, steps 3개{text, minutes}])</t>
        </is>
      </c>
    </row>
    <row r="48" ht="15.75" customHeight="1" s="44"/>
    <row r="49" ht="24" customHeight="1" s="44">
      <c r="A49" s="77" t="inlineStr">
        <is>
          <t>⑤ Long-term Memory</t>
        </is>
      </c>
    </row>
    <row r="50" ht="30" customHeight="1" s="44">
      <c r="A50" s="80" t="inlineStr">
        <is>
          <t>무엇을 / 언제 / 어디에 저장하고 / 어떻게 꺼내 쓰는지 4가지. '줄어드는 규칙'과 토큰 상한이 있어야 설계로 인정받습니다. 사용자 삭제 수단은 필수입니다.</t>
        </is>
      </c>
    </row>
    <row r="51" ht="15.75" customHeight="1" s="44">
      <c r="A51" s="48" t="inlineStr">
        <is>
          <t>항목</t>
        </is>
      </c>
      <c r="B51" s="48" t="inlineStr">
        <is>
          <t>내용</t>
        </is>
      </c>
      <c r="C51" s="48" t="inlineStr">
        <is>
          <t>비고</t>
        </is>
      </c>
    </row>
    <row r="52" ht="27.75" customHeight="1" s="44">
      <c r="A52" s="54" t="inlineStr">
        <is>
          <t>저장 대상</t>
        </is>
      </c>
      <c r="B52" s="54" t="inlineStr">
        <is>
          <t>선호 학습 시간대 / 학습 단위별 예상-실제 소요시간 편차 / 관심 태그 / 추천 거절 이력 / 최근 4주 완료율</t>
        </is>
      </c>
      <c r="C52" s="54" t="n"/>
    </row>
    <row r="53" ht="27.75" customHeight="1" s="44">
      <c r="A53" s="54" t="inlineStr">
        <is>
          <t>저장 시점</t>
        </is>
      </c>
      <c r="B53" s="54" t="inlineStr">
        <is>
          <t>블록 완료 직후(소요시간 편차), 추천 평가 직후(거절 이력), 야간 배치 시점(완료율)</t>
        </is>
      </c>
      <c r="C53" s="54" t="n"/>
    </row>
    <row r="54" ht="27.75" customHeight="1" s="44">
      <c r="A54" s="54" t="inlineStr">
        <is>
          <t>저장소</t>
        </is>
      </c>
      <c r="B54" s="79" t="inlineStr">
        <is>
          <t>PostgreSQL user_memories (구조화 저장, 벡터 미사용)</t>
        </is>
      </c>
      <c r="C54" s="54" t="inlineStr">
        <is>
          <t>검색이 아니라 프롬프트 주입이 목적이라 벡터가 불필요</t>
        </is>
      </c>
    </row>
    <row r="55" ht="27.75" customHeight="1" s="44">
      <c r="A55" s="54" t="inlineStr">
        <is>
          <t>갱신 규칙</t>
        </is>
      </c>
      <c r="B55" s="54" t="inlineStr">
        <is>
          <t>소요시간 편차는 최근 10회 지수이동평균, 거절 태그 가중치는 4주 경과 시 절반으로 감쇠</t>
        </is>
      </c>
      <c r="C55" s="54" t="inlineStr">
        <is>
          <t>무한정 쌓이지 않게 하는 장치</t>
        </is>
      </c>
    </row>
    <row r="56" ht="27.75" customHeight="1" s="44">
      <c r="A56" s="54" t="inlineStr">
        <is>
          <t>활용 방식</t>
        </is>
      </c>
      <c r="B56" s="54" t="inlineStr">
        <is>
          <t>학습 분해의 예상시간에 편차 계수를 곱하고, 스케줄 배치 시 선호 시간대를 우선 배정</t>
        </is>
      </c>
      <c r="C56" s="79" t="inlineStr">
        <is>
          <t>FR-PLAN-02 / FR-PLAN-03</t>
        </is>
      </c>
    </row>
    <row r="57" ht="27.75" customHeight="1" s="44">
      <c r="A57" s="54" t="inlineStr">
        <is>
          <t>주입 상한</t>
        </is>
      </c>
      <c r="B57" s="54" t="inlineStr">
        <is>
          <t>시스템 프롬프트 직후 user_context 블록, 최대 300토큰</t>
        </is>
      </c>
      <c r="C57" s="54" t="inlineStr">
        <is>
          <t>초과 시 최근 갱신 항목만 유지</t>
        </is>
      </c>
    </row>
    <row r="58" ht="27.75" customHeight="1" s="44">
      <c r="A58" s="54" t="inlineStr">
        <is>
          <t>보관 기간</t>
        </is>
      </c>
      <c r="B58" s="54" t="inlineStr">
        <is>
          <t>최종 로그인 후 12개월, 이후 자동 삭제</t>
        </is>
      </c>
      <c r="C58" s="79" t="inlineStr">
        <is>
          <t>NFR-PRIV-01</t>
        </is>
      </c>
    </row>
    <row r="59" ht="15.75" customHeight="1" s="44">
      <c r="A59" s="81" t="inlineStr">
        <is>
          <t>사용자 삭제</t>
        </is>
      </c>
      <c r="B59" s="81" t="inlineStr">
        <is>
          <t>마이페이지에서 항목별·전체 삭제, 즉시 물리 삭제</t>
        </is>
      </c>
      <c r="C59" s="43" t="inlineStr">
        <is>
          <t>FR-MEM-02</t>
        </is>
      </c>
    </row>
    <row r="60" ht="15.75" customHeight="1" s="44"/>
    <row r="61" ht="24" customHeight="1" s="44">
      <c r="A61" s="77" t="inlineStr">
        <is>
          <t>⑥ AI 실패·폴백 정책</t>
        </is>
      </c>
    </row>
    <row r="62" ht="30" customHeight="1" s="44">
      <c r="A62" s="80" t="inlineStr">
        <is>
          <t>채점자가 가장 유심히 보는 표입니다. LLM은 반드시 실패합니다. 타임아웃 / 토큰 초과 / 형식 파싱 실패 / 검색 결과 없음 / 유해 입력 / 요금 한도 초과는 기본으로 채우세요.</t>
        </is>
      </c>
    </row>
    <row r="63" ht="15.75" customHeight="1" s="44">
      <c r="A63" s="48" t="inlineStr">
        <is>
          <t>실패 상황</t>
        </is>
      </c>
      <c r="B63" s="48" t="inlineStr">
        <is>
          <t>감지 방법</t>
        </is>
      </c>
      <c r="C63" s="48" t="inlineStr">
        <is>
          <t>시스템 동작</t>
        </is>
      </c>
      <c r="D63" s="48" t="inlineStr">
        <is>
          <t>사용자에게 보이는 메시지</t>
        </is>
      </c>
    </row>
    <row r="64" ht="27.75" customHeight="1" s="44">
      <c r="A64" s="79" t="inlineStr">
        <is>
          <t>LLM 타임아웃</t>
        </is>
      </c>
      <c r="B64" s="79" t="inlineStr">
        <is>
          <t>20초 내 응답 없음</t>
        </is>
      </c>
      <c r="C64" s="54" t="inlineStr">
        <is>
          <t>학습 분해 중단, 표준 커리큘럼 템플릿으로 대체 후 로그 기록</t>
        </is>
      </c>
      <c r="D64" s="54" t="inlineStr">
        <is>
          <t>일정을 만드는 데 시간이 걸려 기본 계획으로 시작합니다</t>
        </is>
      </c>
    </row>
    <row r="65" ht="27.75" customHeight="1" s="44">
      <c r="A65" s="79" t="inlineStr">
        <is>
          <t>JSON 스키마 검증 실패</t>
        </is>
      </c>
      <c r="B65" s="54" t="inlineStr">
        <is>
          <t>분해 결과 스키마 검증 실패</t>
        </is>
      </c>
      <c r="C65" s="54" t="inlineStr">
        <is>
          <t>동일 프롬프트로 1회 재시도 후 템플릿 분해로 전환</t>
        </is>
      </c>
      <c r="D65" s="54" t="inlineStr">
        <is>
          <t>자동 생성에 실패해 기본 계획으로 시작합니다</t>
        </is>
      </c>
    </row>
    <row r="66" ht="27.75" customHeight="1" s="44">
      <c r="A66" s="54" t="inlineStr">
        <is>
          <t>검색 결과 없음</t>
        </is>
      </c>
      <c r="B66" s="54" t="inlineStr">
        <is>
          <t>최고 유사도 &lt; 0.62(공모전) / &lt; 0.60(목표)</t>
        </is>
      </c>
      <c r="C66" s="54" t="inlineStr">
        <is>
          <t>추천 생성을 중단하고 사전 지식으로 답하지 않음</t>
        </is>
      </c>
      <c r="D66" s="54" t="inlineStr">
        <is>
          <t>이번 주에는 조건에 맞는 공모전을 찾지 못했습니다</t>
        </is>
      </c>
    </row>
    <row r="67" ht="27.75" customHeight="1" s="44">
      <c r="A67" s="54" t="inlineStr">
        <is>
          <t>캘린더 API 실패</t>
        </is>
      </c>
      <c r="B67" s="79" t="inlineStr">
        <is>
          <t>401 또는 5xx, 10초 초과</t>
        </is>
      </c>
      <c r="C67" s="54" t="inlineStr">
        <is>
          <t>수동 입력 가용시간만으로 일정 생성, 재연동 배너 노출</t>
        </is>
      </c>
      <c r="D67" s="54" t="inlineStr">
        <is>
          <t>캘린더를 불러오지 못해 직접 입력한 시간으로 일정을 만들었습니다</t>
        </is>
      </c>
    </row>
    <row r="68" ht="27.75" customHeight="1" s="44">
      <c r="A68" s="54" t="inlineStr">
        <is>
          <t>배치 슬롯 부족</t>
        </is>
      </c>
      <c r="B68" s="54" t="inlineStr">
        <is>
          <t>잔여 가용시간 &lt; 필요 학습시간</t>
        </is>
      </c>
      <c r="C68" s="54" t="inlineStr">
        <is>
          <t>초과분을 미배치로 남기고 기간 연장·범위 축소안 제시</t>
        </is>
      </c>
      <c r="D68" s="54" t="inlineStr">
        <is>
          <t>남은 기간에 ○시간이 배치되지 않았습니다. 조정안을 확인해 주세요</t>
        </is>
      </c>
    </row>
    <row r="69" ht="27.75" customHeight="1" s="44">
      <c r="A69" s="54" t="inlineStr">
        <is>
          <t>토큰 한도 초과</t>
        </is>
      </c>
      <c r="B69" s="54" t="inlineStr">
        <is>
          <t>요청 전 토큰 카운트</t>
        </is>
      </c>
      <c r="C69" s="54" t="inlineStr">
        <is>
          <t>메모리 주입 축소 → 검색 청크 5→3 축소 → 그래도 초과 시 거부</t>
        </is>
      </c>
      <c r="D69" s="54" t="inlineStr">
        <is>
          <t>입력이 너무 깁니다. 관심분야를 줄여 주세요</t>
        </is>
      </c>
    </row>
    <row r="70" ht="27.75" customHeight="1" s="44">
      <c r="A70" s="54" t="inlineStr">
        <is>
          <t>공고 수집 실패</t>
        </is>
      </c>
      <c r="B70" s="54" t="inlineStr">
        <is>
          <t>출처 4xx·5xx 또는 파싱 오류</t>
        </is>
      </c>
      <c r="C70" s="54" t="inlineStr">
        <is>
          <t>해당 출처만 건너뛰고 진행, 3회 연속 실패 시 관리자 알림</t>
        </is>
      </c>
      <c r="D70" s="79" t="inlineStr">
        <is>
          <t>(사용자 노출 없음, 관리자 로그)</t>
        </is>
      </c>
    </row>
    <row r="71" ht="27.75" customHeight="1" s="44">
      <c r="A71" s="54" t="inlineStr">
        <is>
          <t>야간 재조정 실패</t>
        </is>
      </c>
      <c r="B71" s="54" t="inlineStr">
        <is>
          <t>배치 잡 예외 발생</t>
        </is>
      </c>
      <c r="C71" s="54" t="inlineStr">
        <is>
          <t>기존 일정을 그대로 유지하고 다음 날 재시도</t>
        </is>
      </c>
      <c r="D71" s="54" t="inlineStr">
        <is>
          <t>어젯밤 일정 재조정에 실패해 기존 일정을 유지했습니다</t>
        </is>
      </c>
    </row>
    <row r="72" ht="15.75" customHeight="1" s="44">
      <c r="A72" s="81" t="inlineStr">
        <is>
          <t>일일 요금 한도 초과</t>
        </is>
      </c>
      <c r="B72" s="81" t="inlineStr">
        <is>
          <t>누적 API 비용이 임계치 도달</t>
        </is>
      </c>
      <c r="C72" s="81" t="inlineStr">
        <is>
          <t>신규 AI 호출 차단(조회·타이머 등 비AI 기능은 유지), 관리자 알림</t>
        </is>
      </c>
      <c r="D72" s="81" t="inlineStr">
        <is>
          <t>오늘의 AI 이용 한도에 도달했습니다</t>
        </is>
      </c>
    </row>
    <row r="73" ht="15.75" customHeight="1" s="44">
      <c r="A73" s="81" t="inlineStr">
        <is>
          <t>알림 발송 실패</t>
        </is>
      </c>
      <c r="B73" s="81" t="inlineStr">
        <is>
          <t>푸시·메일 API 오류 응답</t>
        </is>
      </c>
      <c r="C73" s="43" t="inlineStr">
        <is>
          <t>1회 재시도 후 다음 예약 알림에 합쳐 발송, 3회 연속 실패 시 채널 자동 전환</t>
        </is>
      </c>
      <c r="D73" s="43" t="inlineStr">
        <is>
          <t>(사용자 노출 없음, 관리자 로그)</t>
        </is>
      </c>
    </row>
    <row r="74" ht="15.75" customHeight="1" s="44">
      <c r="A74" s="81" t="inlineStr">
        <is>
          <t>블록 공부 방법 실패</t>
        </is>
      </c>
      <c r="B74" s="81" t="inlineStr">
        <is>
          <t>키 없음 · 비용 한도 · 20초 초과 · 응답 형식 오류</t>
        </is>
      </c>
      <c r="C74" s="43" t="inlineStr">
        <is>
          <t>단원 유형 · 순서별 규칙 안내로 대체 (frontend/lib/studyGuide.js)</t>
        </is>
      </c>
      <c r="D74" s="43" t="inlineStr">
        <is>
          <t>'AI 추천' 표시 없이 '단원 이름과 순서로 고른 일반적인 순서'</t>
        </is>
      </c>
    </row>
    <row r="75" ht="24" customHeight="1" s="44">
      <c r="A75" s="77" t="inlineStr">
        <is>
          <t>⑦ AI 품질 평가 방법</t>
        </is>
      </c>
    </row>
    <row r="76" ht="30" customHeight="1" s="44">
      <c r="A76" s="80" t="inlineStr">
        <is>
          <t>정답셋 20문항을 만들어 정답률을 재고, 개선 전후를 기록하세요. '무엇을 바꿨더니 몇 %가 올랐다'가 발표의 핵심 슬라이드가 됩니다.</t>
        </is>
      </c>
    </row>
    <row r="77" ht="15.75" customHeight="1" s="44">
      <c r="A77" s="48" t="inlineStr">
        <is>
          <t>평가 항목</t>
        </is>
      </c>
      <c r="B77" s="48" t="inlineStr">
        <is>
          <t>측정 방법</t>
        </is>
      </c>
      <c r="C77" s="48" t="inlineStr">
        <is>
          <t>목표 수치</t>
        </is>
      </c>
      <c r="D77" s="48" t="inlineStr">
        <is>
          <t>측정 주기</t>
        </is>
      </c>
    </row>
    <row r="78" ht="27.75" customHeight="1" s="44">
      <c r="A78" s="54" t="inlineStr">
        <is>
          <t>목표 추천 적합도</t>
        </is>
      </c>
      <c r="B78" s="54" t="inlineStr">
        <is>
          <t>관심분야 20개 케이스에 대해 팀원 2명이 카드별 적합/부적합 교차 채점</t>
        </is>
      </c>
      <c r="C78" s="54" t="inlineStr">
        <is>
          <t>상위 3장 중 2장 이상 적합 80%</t>
        </is>
      </c>
      <c r="D78" s="54" t="inlineStr">
        <is>
          <t>주 1회</t>
        </is>
      </c>
    </row>
    <row r="79" ht="27.75" customHeight="1" s="44">
      <c r="A79" s="54" t="inlineStr">
        <is>
          <t>일정 실현 가능성</t>
        </is>
      </c>
      <c r="B79" s="54" t="inlineStr">
        <is>
          <t>생성된 일정을 규칙 검증기로 검사(마감 초과·선행 위반·하루 상한 위반 0건)</t>
        </is>
      </c>
      <c r="C79" s="79" t="inlineStr">
        <is>
          <t>100%(미배치 명시 포함)</t>
        </is>
      </c>
      <c r="D79" s="54" t="inlineStr">
        <is>
          <t>배포 전 상시</t>
        </is>
      </c>
    </row>
    <row r="80" ht="27.75" customHeight="1" s="44">
      <c r="A80" s="54" t="inlineStr">
        <is>
          <t>학습 분해 품질</t>
        </is>
      </c>
      <c r="B80" s="54" t="inlineStr">
        <is>
          <t>표준 커리큘럼 대비 누락 단원 비율</t>
        </is>
      </c>
      <c r="C80" s="79" t="inlineStr">
        <is>
          <t>10% 이하</t>
        </is>
      </c>
      <c r="D80" s="54" t="inlineStr">
        <is>
          <t>주 1회</t>
        </is>
      </c>
    </row>
    <row r="81" ht="27.75" customHeight="1" s="44">
      <c r="A81" s="54" t="inlineStr">
        <is>
          <t>공모전 추천 정확도</t>
        </is>
      </c>
      <c r="B81" s="54" t="inlineStr">
        <is>
          <t>추천 5건 중 자격·마감 조건을 모두 만족하는 비율(Precision@5)</t>
        </is>
      </c>
      <c r="C81" s="79" t="inlineStr">
        <is>
          <t>90% 이상</t>
        </is>
      </c>
      <c r="D81" s="54" t="inlineStr">
        <is>
          <t>주 1회</t>
        </is>
      </c>
    </row>
    <row r="82" ht="27.75" customHeight="1" s="44">
      <c r="A82" s="54" t="inlineStr">
        <is>
          <t>추천 이유 사실성</t>
        </is>
      </c>
      <c r="B82" s="54" t="inlineStr">
        <is>
          <t>이유 문장이 공고 원문으로 검증되는 비율</t>
        </is>
      </c>
      <c r="C82" s="79" t="inlineStr">
        <is>
          <t>95% 이상</t>
        </is>
      </c>
      <c r="D82" s="54" t="inlineStr">
        <is>
          <t>주 1회</t>
        </is>
      </c>
    </row>
    <row r="83" ht="27.75" customHeight="1" s="44">
      <c r="A83" s="54" t="inlineStr">
        <is>
          <t>일정 준수율</t>
        </is>
      </c>
      <c r="B83" s="54" t="inlineStr">
        <is>
          <t>배정 블록 대비 완료 블록 비율(실사용자 5명)</t>
        </is>
      </c>
      <c r="C83" s="79" t="inlineStr">
        <is>
          <t>60% 이상</t>
        </is>
      </c>
      <c r="D83" s="54" t="inlineStr">
        <is>
          <t>주 1회</t>
        </is>
      </c>
    </row>
    <row r="84" ht="15.75" customHeight="1" s="44">
      <c r="A84" s="81" t="inlineStr">
        <is>
          <t>재조정 안정성</t>
        </is>
      </c>
      <c r="B84" s="81" t="inlineStr">
        <is>
          <t>야간 재조정으로 위치가 바뀐 블록 비율</t>
        </is>
      </c>
      <c r="C84" s="43" t="inlineStr">
        <is>
          <t>30% 이하</t>
        </is>
      </c>
      <c r="D84" s="81" t="inlineStr">
        <is>
          <t>주 1회</t>
        </is>
      </c>
    </row>
    <row r="85" ht="15.75" customHeight="1" s="44">
      <c r="A85" s="81" t="inlineStr">
        <is>
          <t>중간 목표 적정성</t>
        </is>
      </c>
      <c r="B85" s="81" t="inlineStr">
        <is>
          <t>체크포인트 기준일에 해당 범위를 실제로 끝낸 비율(실사용자 5명)</t>
        </is>
      </c>
      <c r="C85" s="43" t="inlineStr">
        <is>
          <t>70% 이상</t>
        </is>
      </c>
      <c r="D85" s="81" t="inlineStr">
        <is>
          <t>주 1회</t>
        </is>
      </c>
    </row>
    <row r="86" ht="24" customHeight="1" s="44">
      <c r="A86" s="83" t="inlineStr">
        <is>
          <t>⑧ 측정 이력</t>
        </is>
      </c>
    </row>
    <row r="87" ht="30" customHeight="1" s="44">
      <c r="A87" s="80" t="inlineStr">
        <is>
          <t>회차별로 기록해 두면 기술적 의사결정 근거가 그대로 남습니다. 날짜는 YYYY-MM-DD 형식.</t>
        </is>
      </c>
    </row>
    <row r="88" ht="15.75" customHeight="1" s="44">
      <c r="A88" s="48" t="inlineStr">
        <is>
          <t>회차</t>
        </is>
      </c>
      <c r="B88" s="48" t="inlineStr">
        <is>
          <t>날짜</t>
        </is>
      </c>
      <c r="C88" s="48" t="inlineStr">
        <is>
          <t>측정 결과</t>
        </is>
      </c>
      <c r="D88" s="48" t="inlineStr">
        <is>
          <t>주요 개선 조치</t>
        </is>
      </c>
    </row>
    <row r="89" ht="27.75" customHeight="1" s="44">
      <c r="A89" s="79" t="inlineStr">
        <is>
          <t>1차</t>
        </is>
      </c>
      <c r="B89" s="79" t="inlineStr">
        <is>
          <t>2026-09-22</t>
        </is>
      </c>
      <c r="C89" s="79" t="inlineStr">
        <is>
          <t>기록 없음 — 저장소에 남은 첫 정답셋 측정은 3차</t>
        </is>
      </c>
      <c r="D89" s="54" t="inlineStr">
        <is>
          <t>정답셋 20케이스 구축 후 최초 측정</t>
        </is>
      </c>
    </row>
    <row r="90" ht="27.75" customHeight="1" s="44">
      <c r="A90" s="79" t="inlineStr">
        <is>
          <t>2차</t>
        </is>
      </c>
      <c r="B90" s="79" t="inlineStr">
        <is>
          <t>2026-09-29</t>
        </is>
      </c>
      <c r="C90" s="79" t="inlineStr">
        <is>
          <t>기록 없음 — 이 시기에 임베딩 대신 Claude 관련성 판단으로 바꿈(09-29)</t>
        </is>
      </c>
      <c r="D90" s="54" t="inlineStr">
        <is>
          <t>Claude 관련성 임계값(0.60/0.62)을 정답셋으로 확인 예정 (09-29 임베딩 → Claude 전환)</t>
        </is>
      </c>
    </row>
    <row r="91" ht="27.75" customHeight="1" s="44">
      <c r="A91" s="79" t="inlineStr">
        <is>
          <t>3차</t>
        </is>
      </c>
      <c r="B91" s="79" t="inlineStr">
        <is>
          <t>2026-10-01</t>
        </is>
      </c>
      <c r="C91" s="79" t="inlineStr">
        <is>
          <t>목표 추천 적합도 태그 40% → Claude 100% · 일정 실현 가능성 100% · 공모전 Precision@5 100% · 추천 이유 사실성 100% (backend/evals/RESULTS.md)</t>
        </is>
      </c>
      <c r="D91" s="54" t="inlineStr">
        <is>
          <t>Claude 관련성 검색 전환 후 첫 정답셋 측정</t>
        </is>
      </c>
    </row>
    <row r="92" ht="27.75" customHeight="1" s="44">
      <c r="A92" s="79" t="inlineStr">
        <is>
          <t>4차</t>
        </is>
      </c>
      <c r="B92" s="79" t="inlineStr">
        <is>
          <t>2026-10-13</t>
        </is>
      </c>
      <c r="C92" s="79" t="inlineStr">
        <is>
          <t>(10-13 예정) 실사용자 5명 설문 평균 4.0~4.6 · 재조정 신뢰 4.0 — docs/user-test/리포트.md</t>
        </is>
      </c>
      <c r="D92" s="54" t="inlineStr">
        <is>
          <t>실사용자 5명 테스트 결과 반영 예정</t>
        </is>
      </c>
    </row>
    <row r="93" ht="27.75" customHeight="1" s="44">
      <c r="A93" s="54" t="inlineStr">
        <is>
          <t>※ 측정 후 '(측정 예정)'을 실제 수치로 교체하세요</t>
        </is>
      </c>
      <c r="B93" s="54" t="n"/>
      <c r="C93" s="54" t="n"/>
      <c r="D93" s="54" t="n"/>
    </row>
    <row r="94" ht="27.75" customHeight="1" s="44">
      <c r="A94" s="54" t="n"/>
      <c r="B94" s="54" t="n"/>
      <c r="C94" s="54" t="n"/>
      <c r="D94" s="54" t="n"/>
    </row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18">
    <mergeCell ref="A61:D61"/>
    <mergeCell ref="A62:D62"/>
    <mergeCell ref="A87:D87"/>
    <mergeCell ref="A25:D25"/>
    <mergeCell ref="A50:C50"/>
    <mergeCell ref="A15:C15"/>
    <mergeCell ref="A2:F2"/>
    <mergeCell ref="A40:D40"/>
    <mergeCell ref="A75:D75"/>
    <mergeCell ref="A49:C49"/>
    <mergeCell ref="A1:F1"/>
    <mergeCell ref="A5:F5"/>
    <mergeCell ref="A26:D26"/>
    <mergeCell ref="A39:D39"/>
    <mergeCell ref="A86:D86"/>
    <mergeCell ref="A4:F4"/>
    <mergeCell ref="A76:D76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baseColWidth="8" defaultColWidth="14.43359375" defaultRowHeight="15" zeroHeight="0" outlineLevelRow="0"/>
  <cols>
    <col width="12" customWidth="1" style="43" min="1" max="1"/>
    <col width="14" customWidth="1" style="43" min="2" max="2"/>
    <col width="12" customWidth="1" style="43" min="3" max="3"/>
    <col width="14" customWidth="1" style="43" min="4" max="4"/>
    <col width="30" customWidth="1" style="43" min="5" max="6"/>
    <col width="34" customWidth="1" style="43" min="7" max="7"/>
    <col width="24" customWidth="1" style="43" min="8" max="8"/>
    <col width="12" customWidth="1" style="43" min="9" max="9"/>
    <col width="11" customWidth="1" style="43" min="10" max="10"/>
    <col width="34" customWidth="1" style="43" min="11" max="11"/>
    <col width="22" customWidth="1" style="43" min="12" max="12"/>
    <col width="12" customWidth="1" style="43" min="13" max="13"/>
    <col width="16" customWidth="1" style="43" min="14" max="14"/>
    <col width="8.710000000000001" customWidth="1" style="43" min="15" max="26"/>
  </cols>
  <sheetData>
    <row r="1" ht="19.5" customHeight="1" s="44">
      <c r="A1" s="68" t="inlineStr">
        <is>
          <t>ID ★</t>
        </is>
      </c>
      <c r="B1" s="69" t="inlineStr">
        <is>
          <t>페이지</t>
        </is>
      </c>
      <c r="C1" s="69" t="inlineStr">
        <is>
          <t>요구사항</t>
        </is>
      </c>
      <c r="D1" s="70" t="n"/>
      <c r="E1" s="69" t="inlineStr">
        <is>
          <t>기능 정의</t>
        </is>
      </c>
      <c r="F1" s="69" t="inlineStr">
        <is>
          <t>기능</t>
        </is>
      </c>
      <c r="G1" s="69" t="inlineStr">
        <is>
          <t>세부 기능</t>
        </is>
      </c>
      <c r="H1" s="69" t="inlineStr">
        <is>
          <t>필요한 데이터</t>
        </is>
      </c>
      <c r="I1" s="68" t="inlineStr">
        <is>
          <t>AI 활용 ★</t>
        </is>
      </c>
      <c r="J1" s="69" t="inlineStr">
        <is>
          <t>우선순위 ★</t>
        </is>
      </c>
      <c r="K1" s="69" t="inlineStr">
        <is>
          <t>세부 사항</t>
        </is>
      </c>
      <c r="L1" s="69" t="inlineStr">
        <is>
          <t>기타 의견</t>
        </is>
      </c>
      <c r="M1" s="69" t="inlineStr">
        <is>
          <t>권한</t>
        </is>
      </c>
      <c r="N1" s="69" t="inlineStr">
        <is>
          <t>비고</t>
        </is>
      </c>
    </row>
    <row r="2" ht="19.5" customHeight="1" s="44">
      <c r="A2" s="68" t="n"/>
      <c r="B2" s="68" t="n"/>
      <c r="C2" s="71" t="inlineStr">
        <is>
          <t>대분류</t>
        </is>
      </c>
      <c r="D2" s="71" t="inlineStr">
        <is>
          <t>소분류</t>
        </is>
      </c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</row>
    <row r="3" ht="45.75" customHeight="1" s="44">
      <c r="A3" s="56" t="inlineStr">
        <is>
          <t>FR-MAIN-01</t>
        </is>
      </c>
      <c r="B3" s="73" t="inlineStr">
        <is>
          <t>메인(초기화면)</t>
        </is>
      </c>
      <c r="C3" s="54" t="inlineStr">
        <is>
          <t>머리글</t>
        </is>
      </c>
      <c r="D3" s="54" t="inlineStr">
        <is>
          <t>로고</t>
        </is>
      </c>
      <c r="E3" s="54" t="inlineStr">
        <is>
          <t>로고 클릭으로 메인화면 이동</t>
        </is>
      </c>
      <c r="F3" s="54" t="inlineStr">
        <is>
          <t>클릭 시 메인화면으로 이동</t>
        </is>
      </c>
      <c r="G3" s="54" t="inlineStr">
        <is>
          <t>모든 화면에 고정 노출</t>
        </is>
      </c>
      <c r="H3" s="54" t="inlineStr">
        <is>
          <t>메인화면 링크</t>
        </is>
      </c>
      <c r="I3" s="54" t="n"/>
      <c r="J3" s="57" t="inlineStr">
        <is>
          <t>Must</t>
        </is>
      </c>
      <c r="K3" s="54" t="n"/>
      <c r="L3" s="54" t="n"/>
      <c r="M3" s="54" t="inlineStr">
        <is>
          <t>모든 사용자</t>
        </is>
      </c>
      <c r="N3" s="54" t="n"/>
    </row>
    <row r="4" ht="45.75" customHeight="1" s="44">
      <c r="A4" s="56" t="inlineStr">
        <is>
          <t>FR-MAIN-02</t>
        </is>
      </c>
      <c r="B4" s="74" t="n"/>
      <c r="C4" s="54" t="inlineStr">
        <is>
          <t>머리글</t>
        </is>
      </c>
      <c r="D4" s="54" t="inlineStr">
        <is>
          <t>로그인/마이페이지</t>
        </is>
      </c>
      <c r="E4" s="54" t="inlineStr">
        <is>
          <t>로그인 상태에 따라 다른 메뉴 표시</t>
        </is>
      </c>
      <c r="F4" s="54" t="inlineStr">
        <is>
          <t>비로그인 시 로그인 버튼, 로그인 시 'OOO님' 표시</t>
        </is>
      </c>
      <c r="G4" s="54" t="inlineStr">
        <is>
          <t>로그아웃 상태에서 마이페이지 클릭 시 로그인 페이지로 이동</t>
        </is>
      </c>
      <c r="H4" s="54" t="inlineStr">
        <is>
          <t>회원 ID, 이름</t>
        </is>
      </c>
      <c r="I4" s="54" t="n"/>
      <c r="J4" s="57" t="inlineStr">
        <is>
          <t>Must</t>
        </is>
      </c>
      <c r="K4" s="54" t="inlineStr">
        <is>
          <t>로그인 이후 회원 이름 표시</t>
        </is>
      </c>
      <c r="L4" s="54" t="n"/>
      <c r="M4" s="54" t="inlineStr">
        <is>
          <t>모든 사용자</t>
        </is>
      </c>
      <c r="N4" s="54" t="n"/>
    </row>
    <row r="5" ht="45.75" customHeight="1" s="44">
      <c r="A5" s="56" t="inlineStr">
        <is>
          <t>FR-MAIN-03</t>
        </is>
      </c>
      <c r="B5" s="74" t="n"/>
      <c r="C5" s="54" t="inlineStr">
        <is>
          <t>본문</t>
        </is>
      </c>
      <c r="D5" s="54" t="inlineStr">
        <is>
          <t>과목 카드</t>
        </is>
      </c>
      <c r="E5" s="54" t="inlineStr">
        <is>
          <t>등록한 과목별 자료 현황을 카드로 확인</t>
        </is>
      </c>
      <c r="F5" s="54" t="inlineStr">
        <is>
          <t>과목 카드 클릭 시 해당 과목 질의응답 페이지로 이동</t>
        </is>
      </c>
      <c r="G5" s="54" t="inlineStr">
        <is>
          <t>과목명, 자료 수, 최근 학습일 표시 / 최근 학습순 정렬</t>
        </is>
      </c>
      <c r="H5" s="54" t="inlineStr">
        <is>
          <t>회원 ID, 과목 태그, 자료 수, 최근 학습일</t>
        </is>
      </c>
      <c r="I5" s="54" t="n"/>
      <c r="J5" s="57" t="inlineStr">
        <is>
          <t>Must</t>
        </is>
      </c>
      <c r="K5" s="54" t="inlineStr">
        <is>
          <t>등록 자료 0건이면 카드 대신 '자료를 올려보세요' 안내 노출</t>
        </is>
      </c>
      <c r="L5" s="54" t="n"/>
      <c r="M5" s="54" t="inlineStr">
        <is>
          <t>회원</t>
        </is>
      </c>
      <c r="N5" s="54" t="n"/>
    </row>
    <row r="6" ht="45.75" customHeight="1" s="44">
      <c r="A6" s="56" t="inlineStr">
        <is>
          <t>FR-MAIN-04</t>
        </is>
      </c>
      <c r="B6" s="74" t="n"/>
      <c r="C6" s="54" t="inlineStr">
        <is>
          <t>본문</t>
        </is>
      </c>
      <c r="D6" s="54" t="inlineStr">
        <is>
          <t>오늘의 복습</t>
        </is>
      </c>
      <c r="E6" s="54" t="inlineStr">
        <is>
          <t>취약 개념 기반 추천 퀴즈를 메인에서 바로 확인</t>
        </is>
      </c>
      <c r="F6" s="54" t="inlineStr">
        <is>
          <t>추천 퀴즈 3문항을 카드로 표시</t>
        </is>
      </c>
      <c r="G6" s="54" t="inlineStr">
        <is>
          <t>클릭 시 퀴즈 페이지로 이동</t>
        </is>
      </c>
      <c r="H6" s="54" t="inlineStr">
        <is>
          <t>회원 ID, 취약 개념, 오답 횟수</t>
        </is>
      </c>
      <c r="I6" s="57" t="inlineStr">
        <is>
          <t>Memory</t>
        </is>
      </c>
      <c r="J6" s="57" t="inlineStr">
        <is>
          <t>Should</t>
        </is>
      </c>
      <c r="K6" s="54" t="inlineStr">
        <is>
          <t>취약 개념이 없으면 영역 자체를 숨김</t>
        </is>
      </c>
      <c r="L6" s="54" t="n"/>
      <c r="M6" s="54" t="inlineStr">
        <is>
          <t>회원</t>
        </is>
      </c>
      <c r="N6" s="54" t="n"/>
    </row>
    <row r="7" ht="45.75" customHeight="1" s="44">
      <c r="A7" s="56" t="inlineStr">
        <is>
          <t>FR-MAIN-05</t>
        </is>
      </c>
      <c r="B7" s="75" t="n"/>
      <c r="C7" s="54" t="inlineStr">
        <is>
          <t>바닥글</t>
        </is>
      </c>
      <c r="D7" s="54" t="inlineStr">
        <is>
          <t>개인정보처리방침</t>
        </is>
      </c>
      <c r="E7" s="54" t="inlineStr">
        <is>
          <t>개인정보 처리방침 확인</t>
        </is>
      </c>
      <c r="F7" s="54" t="inlineStr">
        <is>
          <t>클릭 시 방침 페이지로 이동</t>
        </is>
      </c>
      <c r="G7" s="54" t="n"/>
      <c r="H7" s="54" t="inlineStr">
        <is>
          <t>정책 페이지 링크</t>
        </is>
      </c>
      <c r="I7" s="54" t="n"/>
      <c r="J7" s="57" t="inlineStr">
        <is>
          <t>Must</t>
        </is>
      </c>
      <c r="K7" s="54" t="inlineStr">
        <is>
          <t>수집 항목·보관 기간·파기 방법 명시</t>
        </is>
      </c>
      <c r="L7" s="54" t="inlineStr">
        <is>
          <t>학교 제출 전 문구 검토 필요</t>
        </is>
      </c>
      <c r="M7" s="54" t="inlineStr">
        <is>
          <t>모든 사용자</t>
        </is>
      </c>
      <c r="N7" s="56" t="inlineStr">
        <is>
          <t>NFR-PRIV-01</t>
        </is>
      </c>
    </row>
    <row r="8" ht="45.75" customHeight="1" s="44">
      <c r="A8" s="56" t="inlineStr">
        <is>
          <t>FR-AUTH-01</t>
        </is>
      </c>
      <c r="B8" s="84" t="inlineStr">
        <is>
          <t>로그인 페이지</t>
        </is>
      </c>
      <c r="C8" s="54" t="inlineStr">
        <is>
          <t>로그인</t>
        </is>
      </c>
      <c r="D8" s="54" t="inlineStr">
        <is>
          <t>이메일 로그인</t>
        </is>
      </c>
      <c r="E8" s="54" t="inlineStr">
        <is>
          <t>이메일과 비밀번호로 로그인</t>
        </is>
      </c>
      <c r="F8" s="54" t="inlineStr">
        <is>
          <t>입력 후 로그인 버튼 클릭 시 인증</t>
        </is>
      </c>
      <c r="G8" s="54" t="inlineStr">
        <is>
          <t>이메일 형식 검증 / 비밀번호 8자 이상</t>
        </is>
      </c>
      <c r="H8" s="54" t="inlineStr">
        <is>
          <t>이메일, 비밀번호 해시</t>
        </is>
      </c>
      <c r="I8" s="54" t="n"/>
      <c r="J8" s="57" t="inlineStr">
        <is>
          <t>Must</t>
        </is>
      </c>
      <c r="K8" s="56" t="inlineStr">
        <is>
          <t>5회 연속 실패 시 60초 잠금 / 실패 사유를 '아이디 또는 비밀번호가 올바르지 않습니다'로 통일(계정 존재 여부 노출 방지)</t>
        </is>
      </c>
      <c r="L8" s="54" t="n"/>
      <c r="M8" s="54" t="inlineStr">
        <is>
          <t>비회원</t>
        </is>
      </c>
      <c r="N8" s="54" t="n"/>
    </row>
    <row r="9" ht="45.75" customHeight="1" s="44">
      <c r="A9" s="56" t="inlineStr">
        <is>
          <t>FR-AUTH-02</t>
        </is>
      </c>
      <c r="B9" s="74" t="n"/>
      <c r="C9" s="54" t="inlineStr">
        <is>
          <t>로그인</t>
        </is>
      </c>
      <c r="D9" s="54" t="inlineStr">
        <is>
          <t>자동 로그인</t>
        </is>
      </c>
      <c r="E9" s="54" t="inlineStr">
        <is>
          <t>체크 시 다음 접속에 자동 로그인</t>
        </is>
      </c>
      <c r="F9" s="54" t="inlineStr">
        <is>
          <t>체크박스 제공</t>
        </is>
      </c>
      <c r="G9" s="56" t="inlineStr">
        <is>
          <t>30일 유지</t>
        </is>
      </c>
      <c r="H9" s="54" t="inlineStr">
        <is>
          <t>리프레시 토큰</t>
        </is>
      </c>
      <c r="I9" s="54" t="n"/>
      <c r="J9" s="57" t="inlineStr">
        <is>
          <t>Could</t>
        </is>
      </c>
      <c r="K9" s="54" t="inlineStr">
        <is>
          <t>공용 PC 사용 경고 문구 함께 표시</t>
        </is>
      </c>
      <c r="L9" s="54" t="inlineStr">
        <is>
          <t>보안상 기본값은 해제</t>
        </is>
      </c>
      <c r="M9" s="54" t="inlineStr">
        <is>
          <t>비회원</t>
        </is>
      </c>
      <c r="N9" s="54" t="inlineStr">
        <is>
          <t>우선순위 하</t>
        </is>
      </c>
    </row>
    <row r="10" ht="45.75" customHeight="1" s="44">
      <c r="A10" s="56" t="inlineStr">
        <is>
          <t>FR-AUTH-03</t>
        </is>
      </c>
      <c r="B10" s="75" t="n"/>
      <c r="C10" s="54" t="inlineStr">
        <is>
          <t>계정찾기</t>
        </is>
      </c>
      <c r="D10" s="54" t="inlineStr">
        <is>
          <t>비밀번호 재설정</t>
        </is>
      </c>
      <c r="E10" s="54" t="inlineStr">
        <is>
          <t>이메일 인증으로 비밀번호 재설정</t>
        </is>
      </c>
      <c r="F10" s="54" t="inlineStr">
        <is>
          <t>이메일 입력 후 인증 메일 발송</t>
        </is>
      </c>
      <c r="G10" s="54" t="inlineStr">
        <is>
          <t>인증 링크 유효시간 30분</t>
        </is>
      </c>
      <c r="H10" s="54" t="inlineStr">
        <is>
          <t>이메일, 인증 토큰</t>
        </is>
      </c>
      <c r="I10" s="54" t="n"/>
      <c r="J10" s="57" t="inlineStr">
        <is>
          <t>Should</t>
        </is>
      </c>
      <c r="K10" s="54" t="inlineStr">
        <is>
          <t>가입되지 않은 이메일도 동일한 안내 문구 노출(계정 존재 여부 노출 방지)</t>
        </is>
      </c>
      <c r="L10" s="54" t="n"/>
      <c r="M10" s="54" t="inlineStr">
        <is>
          <t>비회원</t>
        </is>
      </c>
      <c r="N10" s="54" t="n"/>
    </row>
    <row r="11" ht="45.75" customHeight="1" s="44">
      <c r="A11" s="56" t="inlineStr">
        <is>
          <t>FR-JOIN-01</t>
        </is>
      </c>
      <c r="B11" s="85" t="inlineStr">
        <is>
          <t>회원가입 페이지</t>
        </is>
      </c>
      <c r="C11" s="54" t="inlineStr">
        <is>
          <t>회원가입</t>
        </is>
      </c>
      <c r="D11" s="54" t="inlineStr">
        <is>
          <t>정보 입력</t>
        </is>
      </c>
      <c r="E11" s="54" t="inlineStr">
        <is>
          <t>이메일·비밀번호·닉네임으로 가입</t>
        </is>
      </c>
      <c r="F11" s="54" t="inlineStr">
        <is>
          <t>입력 후 가입 버튼 클릭</t>
        </is>
      </c>
      <c r="G11" s="54" t="inlineStr">
        <is>
          <t>이메일 중복 확인 / 비밀번호 8자 이상 영문+숫자 / 닉네임 2~10자</t>
        </is>
      </c>
      <c r="H11" s="54" t="inlineStr">
        <is>
          <t>이메일, 비밀번호, 닉네임</t>
        </is>
      </c>
      <c r="I11" s="54" t="n"/>
      <c r="J11" s="57" t="inlineStr">
        <is>
          <t>Must</t>
        </is>
      </c>
      <c r="K11" s="54" t="inlineStr">
        <is>
          <t>중복 이메일 → '이미 가입된 이메일입니다' / 비밀번호는 bcrypt 해시로 저장</t>
        </is>
      </c>
      <c r="L11" s="54" t="n"/>
      <c r="M11" s="54" t="inlineStr">
        <is>
          <t>비회원</t>
        </is>
      </c>
      <c r="N11" s="56" t="inlineStr">
        <is>
          <t>NFR-SEC-03</t>
        </is>
      </c>
    </row>
    <row r="12" ht="45.75" customHeight="1" s="44">
      <c r="A12" s="56" t="inlineStr">
        <is>
          <t>FR-JOIN-02</t>
        </is>
      </c>
      <c r="B12" s="74" t="n"/>
      <c r="C12" s="54" t="inlineStr">
        <is>
          <t>회원가입</t>
        </is>
      </c>
      <c r="D12" s="54" t="inlineStr">
        <is>
          <t>개인정보 수집 동의</t>
        </is>
      </c>
      <c r="E12" s="54" t="inlineStr">
        <is>
          <t>수집 항목을 고지하고 동의를 받는다</t>
        </is>
      </c>
      <c r="F12" s="54" t="inlineStr">
        <is>
          <t>체크박스로 필수/선택 동의</t>
        </is>
      </c>
      <c r="G12" s="54" t="inlineStr">
        <is>
          <t>필수(이메일·업로드 자료·학습 이력) / 선택(복습 메일 수신)</t>
        </is>
      </c>
      <c r="H12" s="54" t="inlineStr">
        <is>
          <t>동의 여부, 동의 일시</t>
        </is>
      </c>
      <c r="I12" s="54" t="n"/>
      <c r="J12" s="57" t="inlineStr">
        <is>
          <t>Must</t>
        </is>
      </c>
      <c r="K12" s="54" t="inlineStr">
        <is>
          <t>필수 항목 미동의 시 가입 버튼 비활성화 / 동의 일시를 DB에 기록</t>
        </is>
      </c>
      <c r="L12" s="54" t="inlineStr">
        <is>
          <t>과제 AI 윤리 요건 대응</t>
        </is>
      </c>
      <c r="M12" s="54" t="inlineStr">
        <is>
          <t>비회원</t>
        </is>
      </c>
      <c r="N12" s="56" t="inlineStr">
        <is>
          <t>NFR-PRIV-01</t>
        </is>
      </c>
    </row>
    <row r="13" ht="45.75" customHeight="1" s="44">
      <c r="A13" s="56" t="inlineStr">
        <is>
          <t>FR-JOIN-03</t>
        </is>
      </c>
      <c r="B13" s="75" t="n"/>
      <c r="C13" s="54" t="inlineStr">
        <is>
          <t>회원가입</t>
        </is>
      </c>
      <c r="D13" s="56" t="inlineStr">
        <is>
          <t>AI 이용 고지</t>
        </is>
      </c>
      <c r="E13" s="56" t="inlineStr">
        <is>
          <t>AI가 답변을 생성함을 가입 단계에서 고지</t>
        </is>
      </c>
      <c r="F13" s="54" t="inlineStr">
        <is>
          <t>안내 문구 및 체크박스 제공</t>
        </is>
      </c>
      <c r="G13" s="56" t="inlineStr">
        <is>
          <t>'답변은 AI가 생성하며 부정확할 수 있습니다' 문구 표시</t>
        </is>
      </c>
      <c r="H13" s="54" t="inlineStr">
        <is>
          <t>동의 여부</t>
        </is>
      </c>
      <c r="I13" s="54" t="n"/>
      <c r="J13" s="57" t="inlineStr">
        <is>
          <t>Must</t>
        </is>
      </c>
      <c r="K13" s="54" t="inlineStr">
        <is>
          <t>동의 없이는 가입 불가</t>
        </is>
      </c>
      <c r="L13" s="54" t="n"/>
      <c r="M13" s="54" t="inlineStr">
        <is>
          <t>비회원</t>
        </is>
      </c>
      <c r="N13" s="56" t="inlineStr">
        <is>
          <t>NFR-ETHIC-01</t>
        </is>
      </c>
    </row>
    <row r="14" ht="45.75" customHeight="1" s="44">
      <c r="A14" s="56" t="inlineStr">
        <is>
          <t>FR-DOC-01</t>
        </is>
      </c>
      <c r="B14" s="86" t="inlineStr">
        <is>
          <t>자료 관리 페이지</t>
        </is>
      </c>
      <c r="C14" s="54" t="inlineStr">
        <is>
          <t>업로드</t>
        </is>
      </c>
      <c r="D14" s="56" t="inlineStr">
        <is>
          <t>PDF 업로드</t>
        </is>
      </c>
      <c r="E14" s="54" t="inlineStr">
        <is>
          <t>강의자료 PDF를 올려 검색 대상으로 만든다</t>
        </is>
      </c>
      <c r="F14" s="54" t="inlineStr">
        <is>
          <t>파일 선택 또는 드래그앤드롭 후 업로드</t>
        </is>
      </c>
      <c r="G14" s="54" t="inlineStr">
        <is>
          <t>최대 20MB, 100페이지 / 과목 태그 선택 / 진행률 표시</t>
        </is>
      </c>
      <c r="H14" s="54" t="inlineStr">
        <is>
          <t>회원 ID, 파일, 과목 태그, 문서 상태, 페이지 수</t>
        </is>
      </c>
      <c r="I14" s="57" t="inlineStr">
        <is>
          <t>RAG</t>
        </is>
      </c>
      <c r="J14" s="57" t="inlineStr">
        <is>
          <t>Must</t>
        </is>
      </c>
      <c r="K14" s="56" t="inlineStr">
        <is>
          <t>20MB 초과 → 거부 / 텍스트 레이어 없는 스캔본(추출 100자 미만) → 실패 처리 후 '필기 사진 업로드'로 유도 / 임베딩 실패 시 2회 재시도</t>
        </is>
      </c>
      <c r="L14" s="54" t="n"/>
      <c r="M14" s="54" t="inlineStr">
        <is>
          <t>회원</t>
        </is>
      </c>
      <c r="N14" s="54" t="n"/>
    </row>
    <row r="15" ht="45.75" customHeight="1" s="44">
      <c r="A15" s="56" t="inlineStr">
        <is>
          <t>FR-DOC-02</t>
        </is>
      </c>
      <c r="B15" s="74" t="n"/>
      <c r="C15" s="54" t="inlineStr">
        <is>
          <t>업로드</t>
        </is>
      </c>
      <c r="D15" s="54" t="inlineStr">
        <is>
          <t>필기 사진 업로드</t>
        </is>
      </c>
      <c r="E15" s="54" t="inlineStr">
        <is>
          <t>손글씨 필기 사진을 텍스트로 변환해 검색 대상에 포함</t>
        </is>
      </c>
      <c r="F15" s="54" t="inlineStr">
        <is>
          <t>이미지 선택 후 텍스트 추출 실행</t>
        </is>
      </c>
      <c r="G15" s="56" t="inlineStr">
        <is>
          <t>JPG/PNG/HEIC, 최대 10MB, 1회 5장 / 추출 결과를 편집 화면에 표시</t>
        </is>
      </c>
      <c r="H15" s="54" t="inlineStr">
        <is>
          <t>회원 ID, 이미지 파일, 추출 텍스트</t>
        </is>
      </c>
      <c r="I15" s="52" t="inlineStr">
        <is>
          <t>멀티모달</t>
        </is>
      </c>
      <c r="J15" s="57" t="inlineStr">
        <is>
          <t>Must</t>
        </is>
      </c>
      <c r="K15" s="54" t="inlineStr">
        <is>
          <t>추출 20자 미만 → '더 밝은 곳에서 정면으로 촬영해 주세요' / 20초 타임아웃 시 1회 재시도 / 사용자가 확인 버튼을 눌러야 저장(검수 필수)</t>
        </is>
      </c>
      <c r="L15" s="54" t="inlineStr">
        <is>
          <t>수식은 LaTeX로 추출할지 논의 필요</t>
        </is>
      </c>
      <c r="M15" s="54" t="inlineStr">
        <is>
          <t>회원</t>
        </is>
      </c>
      <c r="N15" s="54" t="inlineStr">
        <is>
          <t>오인식 전파 차단 목적</t>
        </is>
      </c>
    </row>
    <row r="16" ht="45.75" customHeight="1" s="44">
      <c r="A16" s="56" t="inlineStr">
        <is>
          <t>FR-DOC-03</t>
        </is>
      </c>
      <c r="B16" s="74" t="n"/>
      <c r="C16" s="54" t="inlineStr">
        <is>
          <t>목록</t>
        </is>
      </c>
      <c r="D16" s="54" t="inlineStr">
        <is>
          <t>자료 목록 조회</t>
        </is>
      </c>
      <c r="E16" s="54" t="inlineStr">
        <is>
          <t>업로드한 자료를 목록으로 확인</t>
        </is>
      </c>
      <c r="F16" s="54" t="inlineStr">
        <is>
          <t>카드 리스트로 표시</t>
        </is>
      </c>
      <c r="G16" s="54" t="inlineStr">
        <is>
          <t>과목별 필터 / 최신순·이름순 정렬 / 처리 상태 뱃지</t>
        </is>
      </c>
      <c r="H16" s="54" t="inlineStr">
        <is>
          <t>회원 ID, 문서 목록, 상태</t>
        </is>
      </c>
      <c r="I16" s="54" t="n"/>
      <c r="J16" s="57" t="inlineStr">
        <is>
          <t>Must</t>
        </is>
      </c>
      <c r="K16" s="54" t="inlineStr">
        <is>
          <t>처리 중 문서는 진행률과 함께 회색 표시</t>
        </is>
      </c>
      <c r="L16" s="54" t="n"/>
      <c r="M16" s="54" t="inlineStr">
        <is>
          <t>회원</t>
        </is>
      </c>
      <c r="N16" s="54" t="n"/>
    </row>
    <row r="17" ht="45.75" customHeight="1" s="44">
      <c r="A17" s="56" t="inlineStr">
        <is>
          <t>FR-DOC-04</t>
        </is>
      </c>
      <c r="B17" s="75" t="n"/>
      <c r="C17" s="54" t="inlineStr">
        <is>
          <t>목록</t>
        </is>
      </c>
      <c r="D17" s="54" t="inlineStr">
        <is>
          <t>자료 삭제</t>
        </is>
      </c>
      <c r="E17" s="54" t="inlineStr">
        <is>
          <t>업로드한 자료를 삭제</t>
        </is>
      </c>
      <c r="F17" s="54" t="inlineStr">
        <is>
          <t>삭제 버튼 클릭 시 확인 모달 후 삭제</t>
        </is>
      </c>
      <c r="G17" s="54" t="inlineStr">
        <is>
          <t>원본 파일·청크·임베딩 모두 삭제</t>
        </is>
      </c>
      <c r="H17" s="54" t="inlineStr">
        <is>
          <t>회원 ID, 문서 ID</t>
        </is>
      </c>
      <c r="I17" s="54" t="n"/>
      <c r="J17" s="57" t="inlineStr">
        <is>
          <t>Must</t>
        </is>
      </c>
      <c r="K17" s="54" t="inlineStr">
        <is>
          <t>삭제 후 해당 자료를 근거로 한 과거 답변의 출처는 '삭제된 자료'로 표시</t>
        </is>
      </c>
      <c r="L17" s="54" t="inlineStr">
        <is>
          <t>과거 대화까지 지울지 논의 필요</t>
        </is>
      </c>
      <c r="M17" s="54" t="inlineStr">
        <is>
          <t>작성자 본인</t>
        </is>
      </c>
      <c r="N17" s="56" t="inlineStr">
        <is>
          <t>NFR-PRIV-02</t>
        </is>
      </c>
    </row>
    <row r="18" ht="45.75" customHeight="1" s="44">
      <c r="A18" s="56" t="inlineStr">
        <is>
          <t>FR-CHAT-01</t>
        </is>
      </c>
      <c r="B18" s="87" t="inlineStr">
        <is>
          <t>질의응답 페이지</t>
        </is>
      </c>
      <c r="C18" s="54" t="inlineStr">
        <is>
          <t>채팅</t>
        </is>
      </c>
      <c r="D18" s="54" t="inlineStr">
        <is>
          <t>질문 입력</t>
        </is>
      </c>
      <c r="E18" s="54" t="inlineStr">
        <is>
          <t>업로드한 자료를 근거로 질문에 답변을 받는다</t>
        </is>
      </c>
      <c r="F18" s="54" t="inlineStr">
        <is>
          <t>질문 입력 후 전송 시 답변을 스트리밍으로 출력</t>
        </is>
      </c>
      <c r="G18" s="56" t="inlineStr">
        <is>
          <t>1~500자 제한 / 자료 0건이면 입력창 비활성화 / 과목 선택 드롭다운</t>
        </is>
      </c>
      <c r="H18" s="54" t="inlineStr">
        <is>
          <t>회원 ID, 질문 텍스트, 문서 청크, 유사도, 응답시간</t>
        </is>
      </c>
      <c r="I18" s="57" t="inlineStr">
        <is>
          <t>RAG</t>
        </is>
      </c>
      <c r="J18" s="57" t="inlineStr">
        <is>
          <t>Must</t>
        </is>
      </c>
      <c r="K18" s="54" t="inlineStr">
        <is>
          <t>유사도 0.72 미만이면 답변을 생성하지 않고 '자료에서 찾지 못했습니다' 안내 / LLM 30초 타임아웃 시 재시도 버튼 / 일일 50회 초과 시 차단</t>
        </is>
      </c>
      <c r="L18" s="54" t="n"/>
      <c r="M18" s="54" t="inlineStr">
        <is>
          <t>회원</t>
        </is>
      </c>
      <c r="N18" s="56" t="inlineStr">
        <is>
          <t>AI기능명세 ③ 참조</t>
        </is>
      </c>
    </row>
    <row r="19" ht="45.75" customHeight="1" s="44">
      <c r="A19" s="56" t="inlineStr">
        <is>
          <t>FR-CHAT-02</t>
        </is>
      </c>
      <c r="B19" s="74" t="n"/>
      <c r="C19" s="54" t="inlineStr">
        <is>
          <t>채팅</t>
        </is>
      </c>
      <c r="D19" s="54" t="inlineStr">
        <is>
          <t>출처 표시</t>
        </is>
      </c>
      <c r="E19" s="54" t="inlineStr">
        <is>
          <t>답변의 근거 위치를 확인</t>
        </is>
      </c>
      <c r="F19" s="54" t="inlineStr">
        <is>
          <t>답변 하단에 '문서명 p.페이지' 최대 4개 표시</t>
        </is>
      </c>
      <c r="G19" s="54" t="inlineStr">
        <is>
          <t>클릭 시 원문 해당 페이지로 이동</t>
        </is>
      </c>
      <c r="H19" s="54" t="inlineStr">
        <is>
          <t>문서명, 페이지 번호, 청크 ID</t>
        </is>
      </c>
      <c r="I19" s="57" t="inlineStr">
        <is>
          <t>RAG</t>
        </is>
      </c>
      <c r="J19" s="57" t="inlineStr">
        <is>
          <t>Must</t>
        </is>
      </c>
      <c r="K19" s="54" t="inlineStr">
        <is>
          <t>실제 답변 생성에 사용되지 않은 청크는 출처에서 제외</t>
        </is>
      </c>
      <c r="L19" s="54" t="inlineStr">
        <is>
          <t>페이지 단위 vs 문단 단위 논의 필요</t>
        </is>
      </c>
      <c r="M19" s="54" t="inlineStr">
        <is>
          <t>회원</t>
        </is>
      </c>
      <c r="N19" s="54" t="n"/>
    </row>
    <row r="20" ht="45.75" customHeight="1" s="44">
      <c r="A20" s="56" t="inlineStr">
        <is>
          <t>FR-CHAT-03</t>
        </is>
      </c>
      <c r="B20" s="74" t="n"/>
      <c r="C20" s="54" t="inlineStr">
        <is>
          <t>채팅</t>
        </is>
      </c>
      <c r="D20" s="56" t="inlineStr">
        <is>
          <t>AI 생성 고지</t>
        </is>
      </c>
      <c r="E20" s="56" t="inlineStr">
        <is>
          <t>AI가 만든 답변임을 사용자가 인지</t>
        </is>
      </c>
      <c r="F20" s="54" t="inlineStr">
        <is>
          <t>답변마다 'AI 생성' 배지와 고지 문구 표시</t>
        </is>
      </c>
      <c r="G20" s="56" t="inlineStr">
        <is>
          <t>'부정확할 수 있으니 원문을 확인하세요' 상시 노출</t>
        </is>
      </c>
      <c r="H20" s="56" t="inlineStr">
        <is>
          <t>-</t>
        </is>
      </c>
      <c r="I20" s="54" t="n"/>
      <c r="J20" s="57" t="inlineStr">
        <is>
          <t>Must</t>
        </is>
      </c>
      <c r="K20" s="54" t="inlineStr">
        <is>
          <t>고지 문구는 접거나 숨길 수 없도록 고정</t>
        </is>
      </c>
      <c r="L20" s="54" t="n"/>
      <c r="M20" s="54" t="inlineStr">
        <is>
          <t>회원</t>
        </is>
      </c>
      <c r="N20" s="56" t="inlineStr">
        <is>
          <t>NFR-ETHIC-01/02</t>
        </is>
      </c>
    </row>
    <row r="21" ht="45.75" customHeight="1" s="44">
      <c r="A21" s="56" t="inlineStr">
        <is>
          <t>FR-CHAT-04</t>
        </is>
      </c>
      <c r="B21" s="74" t="n"/>
      <c r="C21" s="54" t="inlineStr">
        <is>
          <t>채팅</t>
        </is>
      </c>
      <c r="D21" s="54" t="inlineStr">
        <is>
          <t>도구 실행</t>
        </is>
      </c>
      <c r="E21" s="54" t="inlineStr">
        <is>
          <t>질문 의도에 따라 검색·퀴즈생성·현황조회를 자동 수행</t>
        </is>
      </c>
      <c r="F21" s="56" t="inlineStr">
        <is>
          <t>Agent가 도구를 선택해 실행하고 결과를 통합해 응답</t>
        </is>
      </c>
      <c r="G21" s="54" t="inlineStr">
        <is>
          <t>도구 4종 보유 / 최대 5회 반복</t>
        </is>
      </c>
      <c r="H21" s="54" t="inlineStr">
        <is>
          <t>회원 ID, 도구명, 파라미터, 실행결과</t>
        </is>
      </c>
      <c r="I21" s="57" t="inlineStr">
        <is>
          <t>AI Agent</t>
        </is>
      </c>
      <c r="J21" s="57" t="inlineStr">
        <is>
          <t>Must</t>
        </is>
      </c>
      <c r="K21" s="56" t="inlineStr">
        <is>
          <t>5회 초과 시 중간 결과를 요약해 응답 / 일정 등록 도구는 실행 전 사용자 확인 / 모든 호출을 로그에 기록</t>
        </is>
      </c>
      <c r="L21" s="54" t="n"/>
      <c r="M21" s="54" t="inlineStr">
        <is>
          <t>회원</t>
        </is>
      </c>
      <c r="N21" s="56" t="inlineStr">
        <is>
          <t>AI기능명세 ①② 참조</t>
        </is>
      </c>
    </row>
    <row r="22" ht="45.75" customHeight="1" s="44">
      <c r="A22" s="56" t="inlineStr">
        <is>
          <t>FR-CHAT-05</t>
        </is>
      </c>
      <c r="B22" s="74" t="n"/>
      <c r="C22" s="54" t="inlineStr">
        <is>
          <t>이력</t>
        </is>
      </c>
      <c r="D22" s="54" t="inlineStr">
        <is>
          <t>대화 이력</t>
        </is>
      </c>
      <c r="E22" s="54" t="inlineStr">
        <is>
          <t>이전 대화를 이어서 진행</t>
        </is>
      </c>
      <c r="F22" s="54" t="inlineStr">
        <is>
          <t>좌측 목록에서 세션 선택 시 대화 복원</t>
        </is>
      </c>
      <c r="G22" s="54" t="inlineStr">
        <is>
          <t>과목별 세션 분리 / 최근 20개 표시</t>
        </is>
      </c>
      <c r="H22" s="54" t="inlineStr">
        <is>
          <t>세션 ID, 메시지, 작성일시</t>
        </is>
      </c>
      <c r="I22" s="54" t="n"/>
      <c r="J22" s="57" t="inlineStr">
        <is>
          <t>Should</t>
        </is>
      </c>
      <c r="K22" s="54" t="inlineStr">
        <is>
          <t>세션 삭제 시 관련 메시지 전체 삭제</t>
        </is>
      </c>
      <c r="L22" s="54" t="n"/>
      <c r="M22" s="54" t="inlineStr">
        <is>
          <t>작성자 본인</t>
        </is>
      </c>
      <c r="N22" s="54" t="n"/>
    </row>
    <row r="23" ht="45.75" customHeight="1" s="44">
      <c r="A23" s="56" t="inlineStr">
        <is>
          <t>FR-FB-01</t>
        </is>
      </c>
      <c r="B23" s="75" t="n"/>
      <c r="C23" s="54" t="inlineStr">
        <is>
          <t>피드백</t>
        </is>
      </c>
      <c r="D23" s="54" t="inlineStr">
        <is>
          <t>답변 평가</t>
        </is>
      </c>
      <c r="E23" s="54" t="inlineStr">
        <is>
          <t>답변에 만족도를 남긴다</t>
        </is>
      </c>
      <c r="F23" s="54" t="inlineStr">
        <is>
          <t>답변마다 좋아요/싫어요 버튼 제공</t>
        </is>
      </c>
      <c r="G23" s="54" t="inlineStr">
        <is>
          <t>싫어요 선택 시 사유 입력창(200자) 노출</t>
        </is>
      </c>
      <c r="H23" s="54" t="inlineStr">
        <is>
          <t>메시지 ID, 평가, 사유, 당시 출처, 응답시간</t>
        </is>
      </c>
      <c r="I23" s="54" t="n"/>
      <c r="J23" s="57" t="inlineStr">
        <is>
          <t>Must</t>
        </is>
      </c>
      <c r="K23" s="54" t="inlineStr">
        <is>
          <t>중복 평가는 최신 값으로 덮어씀 / 저장 실패 시 로컬 큐 보관 후 재전송</t>
        </is>
      </c>
      <c r="L23" s="54" t="inlineStr">
        <is>
          <t>평가와 함께 출처를 저장해야 검색 문제인지 생성 문제인지 구분 가능</t>
        </is>
      </c>
      <c r="M23" s="54" t="inlineStr">
        <is>
          <t>회원</t>
        </is>
      </c>
      <c r="N23" s="54" t="inlineStr">
        <is>
          <t>실사용자 피드백 근거</t>
        </is>
      </c>
    </row>
    <row r="24" ht="45.75" customHeight="1" s="44">
      <c r="A24" s="56" t="inlineStr">
        <is>
          <t>FR-QUIZ-01</t>
        </is>
      </c>
      <c r="B24" s="58" t="inlineStr">
        <is>
          <t>퀴즈 페이지</t>
        </is>
      </c>
      <c r="C24" s="54" t="inlineStr">
        <is>
          <t>퀴즈</t>
        </is>
      </c>
      <c r="D24" s="54" t="inlineStr">
        <is>
          <t>퀴즈 생성</t>
        </is>
      </c>
      <c r="E24" s="54" t="inlineStr">
        <is>
          <t>자료를 근거로 4지선다 문항을 생성</t>
        </is>
      </c>
      <c r="F24" s="54" t="inlineStr">
        <is>
          <t>과목·문항 수 선택 후 생성 버튼 클릭</t>
        </is>
      </c>
      <c r="G24" s="56" t="inlineStr">
        <is>
          <t>1~10문항 / 문항마다 개념 태그 부여</t>
        </is>
      </c>
      <c r="H24" s="54" t="inlineStr">
        <is>
          <t>회원 ID, 과목 태그, 문서 청크</t>
        </is>
      </c>
      <c r="I24" s="57" t="inlineStr">
        <is>
          <t>AI Agent</t>
        </is>
      </c>
      <c r="J24" s="57" t="inlineStr">
        <is>
          <t>Must</t>
        </is>
      </c>
      <c r="K24" s="56" t="inlineStr">
        <is>
          <t>JSON 스키마 검증 실패 시 1회 재시도 후 '생성에 실패했습니다' / 청크 부족 시 생성 가능한 문항 수만 안내</t>
        </is>
      </c>
      <c r="L24" s="54" t="n"/>
      <c r="M24" s="54" t="inlineStr">
        <is>
          <t>회원</t>
        </is>
      </c>
      <c r="N24" s="54" t="n"/>
    </row>
    <row r="25" ht="45.75" customHeight="1" s="44">
      <c r="A25" s="56" t="inlineStr">
        <is>
          <t>FR-QUIZ-02</t>
        </is>
      </c>
      <c r="B25" s="74" t="n"/>
      <c r="C25" s="54" t="inlineStr">
        <is>
          <t>퀴즈</t>
        </is>
      </c>
      <c r="D25" s="54" t="inlineStr">
        <is>
          <t>채점 및 해설</t>
        </is>
      </c>
      <c r="E25" s="54" t="inlineStr">
        <is>
          <t>응시 결과를 채점하고 해설을 확인</t>
        </is>
      </c>
      <c r="F25" s="54" t="inlineStr">
        <is>
          <t>제출 시 정답 여부와 해설 표시</t>
        </is>
      </c>
      <c r="G25" s="54" t="inlineStr">
        <is>
          <t>오답 문항은 해당 자료 페이지 링크 함께 표시</t>
        </is>
      </c>
      <c r="H25" s="54" t="inlineStr">
        <is>
          <t>문항 ID, 사용자 응답, 정답, 개념 태그</t>
        </is>
      </c>
      <c r="I25" s="54" t="n"/>
      <c r="J25" s="57" t="inlineStr">
        <is>
          <t>Must</t>
        </is>
      </c>
      <c r="K25" s="54" t="inlineStr">
        <is>
          <t>미응답 문항이 있으면 제출 전 확인 모달</t>
        </is>
      </c>
      <c r="L25" s="54" t="n"/>
      <c r="M25" s="54" t="inlineStr">
        <is>
          <t>회원</t>
        </is>
      </c>
      <c r="N25" s="54" t="n"/>
    </row>
    <row r="26" ht="45.75" customHeight="1" s="44">
      <c r="A26" s="56" t="inlineStr">
        <is>
          <t>FR-MEM-01</t>
        </is>
      </c>
      <c r="B26" s="74" t="n"/>
      <c r="C26" s="54" t="inlineStr">
        <is>
          <t>퀴즈</t>
        </is>
      </c>
      <c r="D26" s="54" t="inlineStr">
        <is>
          <t>취약 개념 기록</t>
        </is>
      </c>
      <c r="E26" s="54" t="inlineStr">
        <is>
          <t>오답 개념을 누적해 개인화에 활용</t>
        </is>
      </c>
      <c r="F26" s="54" t="inlineStr">
        <is>
          <t>채점 직후 개념 태그별 오답 횟수 갱신</t>
        </is>
      </c>
      <c r="G26" s="54" t="inlineStr">
        <is>
          <t>오답 시 +1, 정답 2회 연속 시 -1, 0이면 취약 개념에서 해제</t>
        </is>
      </c>
      <c r="H26" s="54" t="inlineStr">
        <is>
          <t>회원 ID, 개념 태그, 오답 횟수</t>
        </is>
      </c>
      <c r="I26" s="57" t="inlineStr">
        <is>
          <t>Memory</t>
        </is>
      </c>
      <c r="J26" s="57" t="inlineStr">
        <is>
          <t>Must</t>
        </is>
      </c>
      <c r="K26" s="54" t="inlineStr">
        <is>
          <t>취약 개념은 프롬프트에 최대 300토큰까지만 주입, 초과 시 상위 항목만 유지</t>
        </is>
      </c>
      <c r="L26" s="54" t="n"/>
      <c r="M26" s="54" t="inlineStr">
        <is>
          <t>회원</t>
        </is>
      </c>
      <c r="N26" s="56" t="inlineStr">
        <is>
          <t>AI기능명세 ⑤ 참조</t>
        </is>
      </c>
    </row>
    <row r="27" ht="45.75" customHeight="1" s="44">
      <c r="A27" s="56" t="inlineStr">
        <is>
          <t>FR-QUIZ-03</t>
        </is>
      </c>
      <c r="B27" s="75" t="n"/>
      <c r="C27" s="54" t="inlineStr">
        <is>
          <t>퀴즈</t>
        </is>
      </c>
      <c r="D27" s="54" t="inlineStr">
        <is>
          <t>서술형 자동 첨삭</t>
        </is>
      </c>
      <c r="E27" s="54" t="inlineStr">
        <is>
          <t>서술형 답안을 AI가 첨삭</t>
        </is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7" t="inlineStr">
        <is>
          <t>AI Agent</t>
        </is>
      </c>
      <c r="J27" s="57" t="inlineStr">
        <is>
          <t>Won't</t>
        </is>
      </c>
      <c r="K27" s="56" t="inlineStr">
        <is>
          <t>4주 일정상 이번 범위에서 제외</t>
        </is>
      </c>
      <c r="L27" s="54" t="inlineStr">
        <is>
          <t>다음 버전 후보</t>
        </is>
      </c>
      <c r="M27" s="54" t="inlineStr">
        <is>
          <t>회원</t>
        </is>
      </c>
      <c r="N27" s="56" t="inlineStr">
        <is>
          <t>v1.2에서 하향</t>
        </is>
      </c>
    </row>
    <row r="28" ht="45.75" customHeight="1" s="44">
      <c r="A28" s="56" t="inlineStr">
        <is>
          <t>FR-MEM-02</t>
        </is>
      </c>
      <c r="B28" s="88" t="inlineStr">
        <is>
          <t>마이페이지</t>
        </is>
      </c>
      <c r="C28" s="54" t="inlineStr">
        <is>
          <t>학습 메모리</t>
        </is>
      </c>
      <c r="D28" s="54" t="inlineStr">
        <is>
          <t>메모리 조회</t>
        </is>
      </c>
      <c r="E28" s="54" t="inlineStr">
        <is>
          <t>시스템이 저장한 내 학습 정보를 확인</t>
        </is>
      </c>
      <c r="F28" s="54" t="inlineStr">
        <is>
          <t>취약 개념·학습 과목·대화 요약을 목록으로 표시</t>
        </is>
      </c>
      <c r="G28" s="54" t="inlineStr">
        <is>
          <t>항목별 기록 시점과 근거 퀴즈 링크 표시</t>
        </is>
      </c>
      <c r="H28" s="54" t="inlineStr">
        <is>
          <t>회원 ID, 메모리 유형, 개념 태그, 갱신일시</t>
        </is>
      </c>
      <c r="I28" s="57" t="inlineStr">
        <is>
          <t>Memory</t>
        </is>
      </c>
      <c r="J28" s="57" t="inlineStr">
        <is>
          <t>Must</t>
        </is>
      </c>
      <c r="K28" s="54" t="inlineStr">
        <is>
          <t>저장된 메모리가 없으면 빈 상태 안내</t>
        </is>
      </c>
      <c r="L28" s="54" t="n"/>
      <c r="M28" s="54" t="inlineStr">
        <is>
          <t>작성자 본인</t>
        </is>
      </c>
      <c r="N28" s="54" t="n"/>
    </row>
    <row r="29" ht="45.75" customHeight="1" s="44">
      <c r="A29" s="56" t="inlineStr">
        <is>
          <t>FR-MEM-03</t>
        </is>
      </c>
      <c r="B29" s="74" t="n"/>
      <c r="C29" s="54" t="inlineStr">
        <is>
          <t>학습 메모리</t>
        </is>
      </c>
      <c r="D29" s="54" t="inlineStr">
        <is>
          <t>메모리 삭제</t>
        </is>
      </c>
      <c r="E29" s="54" t="inlineStr">
        <is>
          <t>저장된 학습 정보를 삭제</t>
        </is>
      </c>
      <c r="F29" s="54" t="inlineStr">
        <is>
          <t>항목별 삭제 또는 전체 삭제</t>
        </is>
      </c>
      <c r="G29" s="54" t="inlineStr">
        <is>
          <t>확인 모달 후 즉시 물리 삭제</t>
        </is>
      </c>
      <c r="H29" s="54" t="inlineStr">
        <is>
          <t>회원 ID, 메모리 ID</t>
        </is>
      </c>
      <c r="I29" s="57" t="inlineStr">
        <is>
          <t>Memory</t>
        </is>
      </c>
      <c r="J29" s="57" t="inlineStr">
        <is>
          <t>Must</t>
        </is>
      </c>
      <c r="K29" s="54" t="inlineStr">
        <is>
          <t>삭제 항목은 이후 프롬프트 주입 및 복습 퀴즈 생성에서 제외 / 롤백 불가 안내</t>
        </is>
      </c>
      <c r="L29" s="54" t="inlineStr">
        <is>
          <t>개인화 서비스는 삭제 수단이 필수</t>
        </is>
      </c>
      <c r="M29" s="54" t="inlineStr">
        <is>
          <t>작성자 본인</t>
        </is>
      </c>
      <c r="N29" s="56" t="inlineStr">
        <is>
          <t>NFR-PRIV-02</t>
        </is>
      </c>
    </row>
    <row r="30" ht="45.75" customHeight="1" s="44">
      <c r="A30" s="56" t="inlineStr">
        <is>
          <t>FR-AUTO-01</t>
        </is>
      </c>
      <c r="B30" s="74" t="n"/>
      <c r="C30" s="54" t="inlineStr">
        <is>
          <t>알림</t>
        </is>
      </c>
      <c r="D30" s="54" t="inlineStr">
        <is>
          <t>복습 메일 수신 설정</t>
        </is>
      </c>
      <c r="E30" s="54" t="inlineStr">
        <is>
          <t>일일 복습 메일 수신 여부를 설정</t>
        </is>
      </c>
      <c r="F30" s="54" t="inlineStr">
        <is>
          <t>토글로 on/off</t>
        </is>
      </c>
      <c r="G30" s="54" t="inlineStr">
        <is>
          <t>기본값 off(선택 동의 항목)</t>
        </is>
      </c>
      <c r="H30" s="54" t="inlineStr">
        <is>
          <t>회원 ID, 수신 여부</t>
        </is>
      </c>
      <c r="I30" s="52" t="inlineStr">
        <is>
          <t>자동화</t>
        </is>
      </c>
      <c r="J30" s="57" t="inlineStr">
        <is>
          <t>Should</t>
        </is>
      </c>
      <c r="K30" s="54" t="inlineStr">
        <is>
          <t>메일 하단 수신 거부 링크로도 off 가능</t>
        </is>
      </c>
      <c r="L30" s="54" t="n"/>
      <c r="M30" s="54" t="inlineStr">
        <is>
          <t>작성자 본인</t>
        </is>
      </c>
      <c r="N30" s="54" t="n"/>
    </row>
    <row r="31" ht="45.75" customHeight="1" s="44">
      <c r="A31" s="56" t="inlineStr">
        <is>
          <t>FR-AUTO-02</t>
        </is>
      </c>
      <c r="B31" s="74" t="n"/>
      <c r="C31" s="54" t="inlineStr">
        <is>
          <t>알림</t>
        </is>
      </c>
      <c r="D31" s="54" t="inlineStr">
        <is>
          <t>일일 복습 메일 발송</t>
        </is>
      </c>
      <c r="E31" s="54" t="inlineStr">
        <is>
          <t>매일 아침 취약 개념 기반 퀴즈를 메일로 받는다</t>
        </is>
      </c>
      <c r="F31" s="54" t="inlineStr">
        <is>
          <t>매일 08:00 스케줄러가 대상자에게 발송</t>
        </is>
      </c>
      <c r="G31" s="54" t="inlineStr">
        <is>
          <t>취약 개념 상위 3개로 3문항 생성 / 최근 7일 내 로그인자만 대상</t>
        </is>
      </c>
      <c r="H31" s="54" t="inlineStr">
        <is>
          <t>회원 ID, 취약 개념, 이메일, 발송 이력</t>
        </is>
      </c>
      <c r="I31" s="52" t="inlineStr">
        <is>
          <t>자동화</t>
        </is>
      </c>
      <c r="J31" s="57" t="inlineStr">
        <is>
          <t>Should</t>
        </is>
      </c>
      <c r="K31" s="54" t="inlineStr">
        <is>
          <t>개별 사용자 실패 시 해당 건만 스킵하고 배치 계속 진행 / 사용자당 1일 1회, 전체 1일 200통 상한</t>
        </is>
      </c>
      <c r="L31" s="54" t="inlineStr">
        <is>
          <t>무료 티어 한도 확인 완료</t>
        </is>
      </c>
      <c r="M31" s="54" t="inlineStr">
        <is>
          <t>회원</t>
        </is>
      </c>
      <c r="N31" s="54" t="inlineStr">
        <is>
          <t>배치 전체 중단 방지</t>
        </is>
      </c>
    </row>
    <row r="32" ht="45.75" customHeight="1" s="44">
      <c r="A32" s="56" t="inlineStr">
        <is>
          <t>FR-MY-01</t>
        </is>
      </c>
      <c r="B32" s="75" t="n"/>
      <c r="C32" s="54" t="inlineStr">
        <is>
          <t>계정</t>
        </is>
      </c>
      <c r="D32" s="54" t="inlineStr">
        <is>
          <t>회원 탈퇴</t>
        </is>
      </c>
      <c r="E32" s="54" t="inlineStr">
        <is>
          <t>계정과 데이터를 완전히 삭제</t>
        </is>
      </c>
      <c r="F32" s="54" t="inlineStr">
        <is>
          <t>비밀번호 확인 후 탈퇴</t>
        </is>
      </c>
      <c r="G32" s="54" t="inlineStr">
        <is>
          <t>자료·청크·메모리·대화 이력 전부 삭제</t>
        </is>
      </c>
      <c r="H32" s="54" t="inlineStr">
        <is>
          <t>회원 ID</t>
        </is>
      </c>
      <c r="I32" s="54" t="n"/>
      <c r="J32" s="57" t="inlineStr">
        <is>
          <t>Must</t>
        </is>
      </c>
      <c r="K32" s="54" t="inlineStr">
        <is>
          <t>탈퇴 전 삭제 대상 목록을 화면에 명시 / 복구 불가 안내</t>
        </is>
      </c>
      <c r="L32" s="54" t="n"/>
      <c r="M32" s="54" t="inlineStr">
        <is>
          <t>작성자 본인</t>
        </is>
      </c>
      <c r="N32" s="56" t="inlineStr">
        <is>
          <t>NFR-PRIV-02</t>
        </is>
      </c>
    </row>
    <row r="33" ht="45.75" customHeight="1" s="44">
      <c r="A33" s="56" t="inlineStr">
        <is>
          <t>FR-ADM-01</t>
        </is>
      </c>
      <c r="B33" s="89" t="inlineStr">
        <is>
          <t>관리자 페이지</t>
        </is>
      </c>
      <c r="C33" s="54" t="inlineStr">
        <is>
          <t>모니터링</t>
        </is>
      </c>
      <c r="D33" s="54" t="inlineStr">
        <is>
          <t>사용량·비용 대시보드</t>
        </is>
      </c>
      <c r="E33" s="56" t="inlineStr">
        <is>
          <t>API 사용량과 비용을 확인</t>
        </is>
      </c>
      <c r="F33" s="54" t="inlineStr">
        <is>
          <t>일자별 요청 수·토큰·비용 표시</t>
        </is>
      </c>
      <c r="G33" s="54" t="inlineStr">
        <is>
          <t>일일 누적 비용 임계치 도달 시 경고 배너</t>
        </is>
      </c>
      <c r="H33" s="54" t="inlineStr">
        <is>
          <t>요청 로그, 토큰 수, 비용</t>
        </is>
      </c>
      <c r="I33" s="54" t="n"/>
      <c r="J33" s="57" t="inlineStr">
        <is>
          <t>Could</t>
        </is>
      </c>
      <c r="K33" s="54" t="inlineStr">
        <is>
          <t>임계치 초과 시 신규 요청 자동 차단</t>
        </is>
      </c>
      <c r="L33" s="54" t="n"/>
      <c r="M33" s="54" t="inlineStr">
        <is>
          <t>관리자</t>
        </is>
      </c>
      <c r="N33" s="56" t="inlineStr">
        <is>
          <t>NFR-COST-01</t>
        </is>
      </c>
    </row>
    <row r="34" ht="45.75" customHeight="1" s="44">
      <c r="A34" s="56" t="inlineStr">
        <is>
          <t>FR-ADM-02</t>
        </is>
      </c>
      <c r="B34" s="74" t="n"/>
      <c r="C34" s="54" t="inlineStr">
        <is>
          <t>피드백</t>
        </is>
      </c>
      <c r="D34" s="54" t="inlineStr">
        <is>
          <t>피드백 목록</t>
        </is>
      </c>
      <c r="E34" s="54" t="inlineStr">
        <is>
          <t>수집된 사용자 피드백을 확인</t>
        </is>
      </c>
      <c r="F34" s="54" t="inlineStr">
        <is>
          <t>평가·사유·해당 답변·출처를 목록으로 표시</t>
        </is>
      </c>
      <c r="G34" s="54" t="inlineStr">
        <is>
          <t>싫어요만 필터 / 기간 필터</t>
        </is>
      </c>
      <c r="H34" s="54" t="inlineStr">
        <is>
          <t>피드백, 메시지, 출처</t>
        </is>
      </c>
      <c r="I34" s="54" t="n"/>
      <c r="J34" s="57" t="inlineStr">
        <is>
          <t>Must</t>
        </is>
      </c>
      <c r="K34" s="54" t="inlineStr">
        <is>
          <t>개선 조치 여부를 체크할 수 있도록 상태 컬럼 제공</t>
        </is>
      </c>
      <c r="L34" s="56" t="inlineStr">
        <is>
          <t>GitHub Issue 연동은 수동으로</t>
        </is>
      </c>
      <c r="M34" s="54" t="inlineStr">
        <is>
          <t>관리자</t>
        </is>
      </c>
      <c r="N34" s="54" t="inlineStr">
        <is>
          <t>실사용자 피드백 반영 근거</t>
        </is>
      </c>
    </row>
    <row r="35" ht="45.75" customHeight="1" s="44">
      <c r="A35" s="56" t="inlineStr">
        <is>
          <t>FR-ADM-03</t>
        </is>
      </c>
      <c r="B35" s="75" t="n"/>
      <c r="C35" s="54" t="inlineStr">
        <is>
          <t>모니터링</t>
        </is>
      </c>
      <c r="D35" s="56" t="inlineStr">
        <is>
          <t>Agent 호출 로그</t>
        </is>
      </c>
      <c r="E35" s="56" t="inlineStr">
        <is>
          <t>Agent의 도구 호출 이력을 확인</t>
        </is>
      </c>
      <c r="F35" s="54" t="inlineStr">
        <is>
          <t>도구명·파라미터·소요시간·성공여부 표시</t>
        </is>
      </c>
      <c r="G35" s="54" t="inlineStr">
        <is>
          <t>실패 건만 필터</t>
        </is>
      </c>
      <c r="H35" s="54" t="inlineStr">
        <is>
          <t>도구명, 파라미터, 소요시간, 성공여부</t>
        </is>
      </c>
      <c r="I35" s="57" t="inlineStr">
        <is>
          <t>AI Agent</t>
        </is>
      </c>
      <c r="J35" s="57" t="inlineStr">
        <is>
          <t>Could</t>
        </is>
      </c>
      <c r="K35" s="54" t="inlineStr">
        <is>
          <t>디버깅 및 발표 자료 근거로 사용</t>
        </is>
      </c>
      <c r="L35" s="54" t="n"/>
      <c r="M35" s="54" t="inlineStr">
        <is>
          <t>관리자</t>
        </is>
      </c>
      <c r="N35" s="54" t="n"/>
    </row>
    <row r="36" ht="15.75" customHeight="1" s="44"/>
    <row r="37" ht="15.75" customHeight="1" s="44">
      <c r="A37" s="90" t="inlineStr">
        <is>
          <t>※ 가상의 서비스 'StudyMate'로 작성한 예시입니다. 실제 주제가 정해지면 이 시트를 참고해 '기능명세서' 시트를 채우세요.</t>
        </is>
      </c>
    </row>
    <row r="38" ht="19.5" customHeight="1" s="44">
      <c r="A38" s="53" t="inlineStr">
        <is>
          <t>총 기능 수</t>
        </is>
      </c>
      <c r="B38" s="55">
        <f>COUNTA($A$3:$A$35)</f>
        <v/>
      </c>
      <c r="C38" s="61" t="inlineStr">
        <is>
          <t>Must</t>
        </is>
      </c>
      <c r="D38" s="55">
        <f>COUNTIF($J$3:$J$35,"Must")</f>
        <v/>
      </c>
      <c r="E38" s="61" t="inlineStr">
        <is>
          <t>Should</t>
        </is>
      </c>
      <c r="F38" s="55">
        <f>COUNTIF($J$3:$J$35,"Should")</f>
        <v/>
      </c>
      <c r="G38" s="61" t="inlineStr">
        <is>
          <t>Could</t>
        </is>
      </c>
      <c r="H38" s="55">
        <f>COUNTIF($J$3:$J$35,"Could")</f>
        <v/>
      </c>
      <c r="I38" s="61" t="inlineStr">
        <is>
          <t>Won't</t>
        </is>
      </c>
      <c r="J38" s="55">
        <f>COUNTIF($J$3:$J$35,"Won't")</f>
        <v/>
      </c>
      <c r="K38" s="61" t="inlineStr">
        <is>
          <t>AI 관련 행</t>
        </is>
      </c>
      <c r="L38" s="55">
        <f>COUNTA($I$3:$I$35)</f>
        <v/>
      </c>
    </row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autoFilter ref="A2:N35"/>
  <mergeCells count="10">
    <mergeCell ref="B14:B17"/>
    <mergeCell ref="B18:B23"/>
    <mergeCell ref="C1:D1"/>
    <mergeCell ref="B28:B32"/>
    <mergeCell ref="B33:B35"/>
    <mergeCell ref="B11:B13"/>
    <mergeCell ref="B3:B7"/>
    <mergeCell ref="B8:B10"/>
    <mergeCell ref="B24:B27"/>
    <mergeCell ref="A37:N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3" min="1" max="1"/>
    <col width="30" customWidth="1" style="43" min="2" max="2"/>
    <col width="34" customWidth="1" style="43" min="3" max="3"/>
    <col width="32" customWidth="1" style="43" min="4" max="4"/>
    <col width="34" customWidth="1" style="43" min="5" max="5"/>
    <col width="16" customWidth="1" style="43" min="6" max="6"/>
    <col width="8.710000000000001" customWidth="1" style="43" min="7" max="26"/>
  </cols>
  <sheetData>
    <row r="1" ht="30" customHeight="1" s="44">
      <c r="A1" s="76" t="inlineStr">
        <is>
          <t>AI 기능 명세 예시 — StudyMate (가상)</t>
        </is>
      </c>
    </row>
    <row r="2" ht="15" customHeight="1" s="44">
      <c r="A2" s="46" t="inlineStr">
        <is>
          <t>'예시_기능명세서' 시트에서 AI 활용 열이 채워진 행들의 상세 설계입니다. 숫자마다 '왜 그 값인지'가 붙어 있는 점을 눈여겨보세요.</t>
        </is>
      </c>
    </row>
    <row r="4" ht="24" customHeight="1" s="44">
      <c r="A4" s="77" t="inlineStr">
        <is>
          <t>① AI Agent — 보유 도구</t>
        </is>
      </c>
    </row>
    <row r="5" ht="30" customHeight="1" s="44">
      <c r="A5" s="80" t="inlineStr">
        <is>
          <t>도구 목록 / 최대 반복 / 실패 시 동작 3가지는 반드시. '최대 반복'이 없으면 무한 루프로 API 비용이 폭증합니다.</t>
        </is>
      </c>
    </row>
    <row r="6" ht="15" customHeight="1" s="44">
      <c r="A6" s="48" t="inlineStr">
        <is>
          <t>도구명</t>
        </is>
      </c>
      <c r="B6" s="48" t="inlineStr">
        <is>
          <t>목적</t>
        </is>
      </c>
      <c r="C6" s="48" t="inlineStr">
        <is>
          <t>입력 파라미터</t>
        </is>
      </c>
      <c r="D6" s="48" t="inlineStr">
        <is>
          <t>반환값</t>
        </is>
      </c>
      <c r="E6" s="48" t="inlineStr">
        <is>
          <t>실패 시 동작</t>
        </is>
      </c>
      <c r="F6" s="48" t="inlineStr">
        <is>
          <t>관련 ID</t>
        </is>
      </c>
    </row>
    <row r="7" ht="33.75" customHeight="1" s="44">
      <c r="A7" s="56" t="inlineStr">
        <is>
          <t>search_documents</t>
        </is>
      </c>
      <c r="B7" s="54" t="inlineStr">
        <is>
          <t>자료에서 관련 청크 검색</t>
        </is>
      </c>
      <c r="C7" s="56" t="inlineStr">
        <is>
          <t>query: str, subject_tag: str|null, k: int = 4</t>
        </is>
      </c>
      <c r="D7" s="54" t="inlineStr">
        <is>
          <t>청크 배열(본문·문서명·페이지·유사도)</t>
        </is>
      </c>
      <c r="E7" s="54" t="inlineStr">
        <is>
          <t>빈 배열 반환 → '자료에서 찾지 못함'을 사용자에게 고지</t>
        </is>
      </c>
      <c r="F7" s="56" t="inlineStr">
        <is>
          <t>FR-CHAT-01</t>
        </is>
      </c>
    </row>
    <row r="8" ht="33.75" customHeight="1" s="44">
      <c r="A8" s="56" t="inlineStr">
        <is>
          <t>generate_quiz</t>
        </is>
      </c>
      <c r="B8" s="54" t="inlineStr">
        <is>
          <t>지정 범위 퀴즈 생성</t>
        </is>
      </c>
      <c r="C8" s="56" t="inlineStr">
        <is>
          <t>subject_tag: str, count: int(1~10), concepts: str[]|null</t>
        </is>
      </c>
      <c r="D8" s="54" t="inlineStr">
        <is>
          <t>문항 배열(문제·보기·정답·해설·개념태그)</t>
        </is>
      </c>
      <c r="E8" s="54" t="inlineStr">
        <is>
          <t>재시도 1회 후 '퀴즈 생성에 실패했습니다'</t>
        </is>
      </c>
      <c r="F8" s="56" t="inlineStr">
        <is>
          <t>FR-QUIZ-01</t>
        </is>
      </c>
    </row>
    <row r="9" ht="33.75" customHeight="1" s="44">
      <c r="A9" s="56" t="inlineStr">
        <is>
          <t>get_weak_concepts</t>
        </is>
      </c>
      <c r="B9" s="54" t="inlineStr">
        <is>
          <t>취약 개념 조회</t>
        </is>
      </c>
      <c r="C9" s="56" t="inlineStr">
        <is>
          <t>limit: int = 10</t>
        </is>
      </c>
      <c r="D9" s="54" t="inlineStr">
        <is>
          <t>개념 태그 + 오답 횟수 배열</t>
        </is>
      </c>
      <c r="E9" s="54" t="inlineStr">
        <is>
          <t>빈 배열 → '아직 데이터가 충분하지 않습니다'</t>
        </is>
      </c>
      <c r="F9" s="56" t="inlineStr">
        <is>
          <t>FR-MEM-01</t>
        </is>
      </c>
    </row>
    <row r="10" ht="33.75" customHeight="1" s="44">
      <c r="A10" s="56" t="inlineStr">
        <is>
          <t>schedule_review</t>
        </is>
      </c>
      <c r="B10" s="54" t="inlineStr">
        <is>
          <t>복습 알림 등록</t>
        </is>
      </c>
      <c r="C10" s="56" t="inlineStr">
        <is>
          <t>subject_tag: str, date: YYYY-MM-DD, time: HH:MM</t>
        </is>
      </c>
      <c r="D10" s="54" t="inlineStr">
        <is>
          <t>등록 결과 + 알림 ID</t>
        </is>
      </c>
      <c r="E10" s="54" t="inlineStr">
        <is>
          <t>중복 시각이면 사용자에게 확인 요청</t>
        </is>
      </c>
      <c r="F10" s="56" t="inlineStr">
        <is>
          <t>FR-AUTO-01</t>
        </is>
      </c>
    </row>
    <row r="13" ht="24" customHeight="1" s="44">
      <c r="A13" s="77" t="inlineStr">
        <is>
          <t>② AI Agent — 실행 정책</t>
        </is>
      </c>
    </row>
    <row r="14" ht="30" customHeight="1" s="44">
      <c r="A14" s="80" t="inlineStr">
        <is>
          <t>되돌릴 수 없는 도구(발송·삭제·등록)는 실행 전 사용자 확인을 받도록 정책에 명시합니다.</t>
        </is>
      </c>
    </row>
    <row r="15" ht="15" customHeight="1" s="44">
      <c r="A15" s="48" t="inlineStr">
        <is>
          <t>항목</t>
        </is>
      </c>
      <c r="B15" s="48" t="inlineStr">
        <is>
          <t>설정값</t>
        </is>
      </c>
      <c r="C15" s="48" t="inlineStr">
        <is>
          <t>그렇게 정한 이유</t>
        </is>
      </c>
    </row>
    <row r="16" ht="33.75" customHeight="1" s="44">
      <c r="A16" s="54" t="inlineStr">
        <is>
          <t>최대 도구 호출 반복</t>
        </is>
      </c>
      <c r="B16" s="56" t="inlineStr">
        <is>
          <t>5회</t>
        </is>
      </c>
      <c r="C16" s="56" t="inlineStr">
        <is>
          <t>3회로는 검색→퀴즈생성 연계가 끊겼고, 10회는 비용이 3배로 늘면서 결과 차이가 없었음</t>
        </is>
      </c>
    </row>
    <row r="17" ht="33.75" customHeight="1" s="44">
      <c r="A17" s="54" t="inlineStr">
        <is>
          <t>반복 초과 시 동작</t>
        </is>
      </c>
      <c r="B17" s="54" t="inlineStr">
        <is>
          <t>중간 결과를 요약해 응답 후 종료</t>
        </is>
      </c>
      <c r="C17" s="54" t="inlineStr">
        <is>
          <t>무응답으로 끝내면 사용자가 원인을 알 수 없음</t>
        </is>
      </c>
    </row>
    <row r="18" ht="33.75" customHeight="1" s="44">
      <c r="A18" s="54" t="inlineStr">
        <is>
          <t>도구 선택 불가 시</t>
        </is>
      </c>
      <c r="B18" s="54" t="inlineStr">
        <is>
          <t>도구 없이 일반 대화로 응답하되 근거 없음을 명시</t>
        </is>
      </c>
      <c r="C18" s="54" t="inlineStr">
        <is>
          <t>자료 근거 없는 답변을 근거 있는 답변처럼 보이게 하면 안 됨</t>
        </is>
      </c>
    </row>
    <row r="19" ht="33.75" customHeight="1" s="44">
      <c r="A19" s="54" t="inlineStr">
        <is>
          <t>사용자 확인 필요 도구</t>
        </is>
      </c>
      <c r="B19" s="56" t="inlineStr">
        <is>
          <t>schedule_review</t>
        </is>
      </c>
      <c r="C19" s="54" t="inlineStr">
        <is>
          <t>알림 등록은 사용자에게 실제로 메일이 나가는 동작이라 오작동 시 영향이 큼</t>
        </is>
      </c>
    </row>
    <row r="20" ht="33.75" customHeight="1" s="44">
      <c r="A20" s="54" t="inlineStr">
        <is>
          <t>호출 로깅</t>
        </is>
      </c>
      <c r="B20" s="54" t="inlineStr">
        <is>
          <t>도구명·파라미터·소요시간·성공여부 전량 기록</t>
        </is>
      </c>
      <c r="C20" s="54" t="inlineStr">
        <is>
          <t>실패 원인 추적과 발표 자료 근거로 사용</t>
        </is>
      </c>
    </row>
    <row r="21" ht="15.75" customHeight="1" s="44"/>
    <row r="22" ht="15.75" customHeight="1" s="44"/>
    <row r="23" ht="24" customHeight="1" s="44">
      <c r="A23" s="77" t="inlineStr">
        <is>
          <t>③ RAG 파이프라인 파라미터</t>
        </is>
      </c>
    </row>
    <row r="24" ht="30" customHeight="1" s="44">
      <c r="A24" s="80" t="inlineStr">
        <is>
          <t>숫자만 있으면 임의로 정한 값처럼 보입니다. 근거 한 줄이 붙으면 실험 결과로 읽힙니다.</t>
        </is>
      </c>
    </row>
    <row r="25" ht="15.75" customHeight="1" s="44">
      <c r="A25" s="48" t="inlineStr">
        <is>
          <t>단계</t>
        </is>
      </c>
      <c r="B25" s="48" t="inlineStr">
        <is>
          <t>설정값</t>
        </is>
      </c>
      <c r="C25" s="48" t="inlineStr">
        <is>
          <t>선정 근거</t>
        </is>
      </c>
      <c r="D25" s="48" t="inlineStr">
        <is>
          <t>비고</t>
        </is>
      </c>
    </row>
    <row r="26" ht="33.75" customHeight="1" s="44">
      <c r="A26" s="54" t="inlineStr">
        <is>
          <t>문서 로더</t>
        </is>
      </c>
      <c r="B26" s="56" t="inlineStr">
        <is>
          <t>PyMuPDF(PDF) / Vision OCR(이미지)</t>
        </is>
      </c>
      <c r="C26" s="56" t="inlineStr">
        <is>
          <t>PyMuPDF가 pdfplumber 대비 100p 처리 속도 약 3배</t>
        </is>
      </c>
      <c r="D26" s="54" t="n"/>
    </row>
    <row r="27" ht="33.75" customHeight="1" s="44">
      <c r="A27" s="54" t="inlineStr">
        <is>
          <t>청킹 크기</t>
        </is>
      </c>
      <c r="B27" s="56" t="inlineStr">
        <is>
          <t>800자</t>
        </is>
      </c>
      <c r="C27" s="56" t="inlineStr">
        <is>
          <t>400자는 정의 문장이 잘리고 1500자는 무관 내용이 섞임</t>
        </is>
      </c>
      <c r="D27" s="54" t="inlineStr">
        <is>
          <t>정답셋 20문항으로 3개 값 비교</t>
        </is>
      </c>
    </row>
    <row r="28" ht="33.75" customHeight="1" s="44">
      <c r="A28" s="54" t="inlineStr">
        <is>
          <t>오버랩</t>
        </is>
      </c>
      <c r="B28" s="56" t="inlineStr">
        <is>
          <t>100자</t>
        </is>
      </c>
      <c r="C28" s="54" t="inlineStr">
        <is>
          <t>문단 경계에서 문맥이 끊기는 사례를 1차 테스트에서 확인</t>
        </is>
      </c>
      <c r="D28" s="54" t="n"/>
    </row>
    <row r="29" ht="33.75" customHeight="1" s="44">
      <c r="A29" s="54" t="inlineStr">
        <is>
          <t>임베딩 모델</t>
        </is>
      </c>
      <c r="B29" s="56" t="inlineStr">
        <is>
          <t>text-embedding-3-small (1536차원)</t>
        </is>
      </c>
      <c r="C29" s="54" t="inlineStr">
        <is>
          <t>상위 모델과 한국어 검색 정확도 차이가 유의미하지 않으면서 비용 약 1/6</t>
        </is>
      </c>
      <c r="D29" s="54" t="n"/>
    </row>
    <row r="30" ht="33.75" customHeight="1" s="44">
      <c r="A30" s="54" t="inlineStr">
        <is>
          <t>벡터 스토어</t>
        </is>
      </c>
      <c r="B30" s="56" t="inlineStr">
        <is>
          <t>PostgreSQL + pgvector (HNSW)</t>
        </is>
      </c>
      <c r="C30" s="54" t="inlineStr">
        <is>
          <t>문서 500건 이하 규모에서 전용 벡터DB의 이점이 없고 운영 대상만 늘어남</t>
        </is>
      </c>
      <c r="D30" s="54" t="n"/>
    </row>
    <row r="31" ht="33.75" customHeight="1" s="44">
      <c r="A31" s="54" t="inlineStr">
        <is>
          <t>검색 방식</t>
        </is>
      </c>
      <c r="B31" s="54" t="inlineStr">
        <is>
          <t>벡터 검색 + 과목 태그 필터</t>
        </is>
      </c>
      <c r="C31" s="54" t="inlineStr">
        <is>
          <t>과목이 섞이면 다른 과목 청크가 상위에 올라오는 문제를 1차 테스트에서 확인</t>
        </is>
      </c>
      <c r="D31" s="54" t="n"/>
    </row>
    <row r="32" ht="33.75" customHeight="1" s="44">
      <c r="A32" s="56" t="inlineStr">
        <is>
          <t>top-k</t>
        </is>
      </c>
      <c r="B32" s="56" t="inlineStr">
        <is>
          <t>4</t>
        </is>
      </c>
      <c r="C32" s="56" t="inlineStr">
        <is>
          <t>5번째 이후 청크가 답변에 기여하지 않으면서 토큰만 증가</t>
        </is>
      </c>
      <c r="D32" s="56" t="inlineStr">
        <is>
          <t>v1.1에서 5→4 하향</t>
        </is>
      </c>
    </row>
    <row r="33" ht="33.75" customHeight="1" s="44">
      <c r="A33" s="54" t="inlineStr">
        <is>
          <t>유사도 임계값</t>
        </is>
      </c>
      <c r="B33" s="54" t="inlineStr">
        <is>
          <t>코사인 0.72</t>
        </is>
      </c>
      <c r="C33" s="56" t="inlineStr">
        <is>
          <t>0.6은 무관 청크 통과, 0.8은 정상 질문도 차단. 정답셋 기준 균형점</t>
        </is>
      </c>
      <c r="D33" s="54" t="n"/>
    </row>
    <row r="34" ht="33.75" customHeight="1" s="44">
      <c r="A34" s="54" t="inlineStr">
        <is>
          <t>재순위화</t>
        </is>
      </c>
      <c r="B34" s="54" t="inlineStr">
        <is>
          <t>미사용</t>
        </is>
      </c>
      <c r="C34" s="56" t="inlineStr">
        <is>
          <t>top-k=4 규모에서 체감 개선 대비 지연 +0.8초가 더 큼</t>
        </is>
      </c>
      <c r="D34" s="54" t="n"/>
    </row>
    <row r="35" ht="33.75" customHeight="1" s="44">
      <c r="A35" s="54" t="inlineStr">
        <is>
          <t>검색 실패 정책</t>
        </is>
      </c>
      <c r="B35" s="54" t="inlineStr">
        <is>
          <t>답변 생성 자체를 중단</t>
        </is>
      </c>
      <c r="C35" s="54" t="inlineStr">
        <is>
          <t>모델의 사전 지식으로 답하면 환각이 그대로 사용자에게 전달됨</t>
        </is>
      </c>
      <c r="D35" s="54" t="inlineStr">
        <is>
          <t>가장 중요</t>
        </is>
      </c>
    </row>
    <row r="36" ht="15.75" customHeight="1" s="44"/>
    <row r="37" ht="15.75" customHeight="1" s="44"/>
    <row r="38" ht="24" customHeight="1" s="44">
      <c r="A38" s="83" t="inlineStr">
        <is>
          <t>④ 프롬프트 설계</t>
        </is>
      </c>
    </row>
    <row r="39" ht="30" customHeight="1" s="44">
      <c r="A39" s="80" t="inlineStr">
        <is>
          <t>전문을 붙이지 말고 역할 / 제약 / 출력 형식만 요약합니다. 전문은 별도 파일로.</t>
        </is>
      </c>
    </row>
    <row r="40" ht="15.75" customHeight="1" s="44">
      <c r="A40" s="48" t="inlineStr">
        <is>
          <t>프롬프트</t>
        </is>
      </c>
      <c r="B40" s="48" t="inlineStr">
        <is>
          <t>역할</t>
        </is>
      </c>
      <c r="C40" s="48" t="inlineStr">
        <is>
          <t>주요 제약</t>
        </is>
      </c>
      <c r="D40" s="48" t="inlineStr">
        <is>
          <t>출력 형식</t>
        </is>
      </c>
    </row>
    <row r="41" ht="33.75" customHeight="1" s="44">
      <c r="A41" s="54" t="inlineStr">
        <is>
          <t>시스템</t>
        </is>
      </c>
      <c r="B41" s="54" t="inlineStr">
        <is>
          <t>학습 도우미 페르소나</t>
        </is>
      </c>
      <c r="C41" s="54" t="inlineStr">
        <is>
          <t>제공된 청크 범위 밖을 답하지 말 것 / 모르면 모른다고 할 것 / 정답을 즉시 주기보다 단계적으로 유도할 것</t>
        </is>
      </c>
      <c r="D41" s="54" t="inlineStr">
        <is>
          <t>자연어 + 출처 목록</t>
        </is>
      </c>
    </row>
    <row r="42" ht="33.75" customHeight="1" s="44">
      <c r="A42" s="54" t="inlineStr">
        <is>
          <t>퀴즈 생성</t>
        </is>
      </c>
      <c r="B42" s="56" t="inlineStr">
        <is>
          <t>4지선다 문항 생성</t>
        </is>
      </c>
      <c r="C42" s="54" t="inlineStr">
        <is>
          <t>청크 내용만 근거로 / 오답 보기는 그럴듯하되 명백히 틀릴 것 / 개념 태그 필수</t>
        </is>
      </c>
      <c r="D42" s="56" t="inlineStr">
        <is>
          <t>JSON 스키마 고정</t>
        </is>
      </c>
    </row>
    <row r="43" ht="33.75" customHeight="1" s="44">
      <c r="A43" s="56" t="inlineStr">
        <is>
          <t>OCR</t>
        </is>
      </c>
      <c r="B43" s="54" t="inlineStr">
        <is>
          <t>필기 텍스트 추출</t>
        </is>
      </c>
      <c r="C43" s="54" t="inlineStr">
        <is>
          <t>내용 보완 금지 / 판독 불가는 [판독불가] 표기 / 수식은 LaTeX</t>
        </is>
      </c>
      <c r="D43" s="54" t="inlineStr">
        <is>
          <t>평문</t>
        </is>
      </c>
    </row>
    <row r="44" ht="33.75" customHeight="1" s="44">
      <c r="A44" s="54" t="inlineStr">
        <is>
          <t>요약</t>
        </is>
      </c>
      <c r="B44" s="54" t="inlineStr">
        <is>
          <t>대화 요약 생성</t>
        </is>
      </c>
      <c r="C44" s="56" t="inlineStr">
        <is>
          <t>200자 이내 / 학습 주제와 이해도 중심</t>
        </is>
      </c>
      <c r="D44" s="54" t="inlineStr">
        <is>
          <t>평문</t>
        </is>
      </c>
    </row>
    <row r="45" ht="15.75" customHeight="1" s="44"/>
    <row r="46" ht="15.75" customHeight="1" s="44"/>
    <row r="47" ht="24" customHeight="1" s="44">
      <c r="A47" s="77" t="inlineStr">
        <is>
          <t>⑤ Long-term Memory</t>
        </is>
      </c>
    </row>
    <row r="48" ht="30" customHeight="1" s="44">
      <c r="A48" s="78" t="inlineStr">
        <is>
          <t>'줄어드는 규칙'과 토큰 상한이 있어야 설계로 인정받습니다. 사용자 삭제 수단은 필수.</t>
        </is>
      </c>
    </row>
    <row r="49" ht="15.75" customHeight="1" s="44">
      <c r="A49" s="48" t="inlineStr">
        <is>
          <t>항목</t>
        </is>
      </c>
      <c r="B49" s="48" t="inlineStr">
        <is>
          <t>내용</t>
        </is>
      </c>
      <c r="C49" s="48" t="inlineStr">
        <is>
          <t>비고</t>
        </is>
      </c>
    </row>
    <row r="50" ht="33.75" customHeight="1" s="44">
      <c r="A50" s="54" t="inlineStr">
        <is>
          <t>저장 대상</t>
        </is>
      </c>
      <c r="B50" s="54" t="inlineStr">
        <is>
          <t>취약 개념+오답횟수 / 학습 과목 / 응답 스타일 선호 / 최근 대화 요약 5건</t>
        </is>
      </c>
      <c r="C50" s="54" t="n"/>
    </row>
    <row r="51" ht="33.75" customHeight="1" s="44">
      <c r="A51" s="54" t="inlineStr">
        <is>
          <t>저장 시점</t>
        </is>
      </c>
      <c r="B51" s="54" t="inlineStr">
        <is>
          <t>취약 개념은 퀴즈 채점 직후, 대화 요약은 세션 종료 또는 10턴 경과 시</t>
        </is>
      </c>
      <c r="C51" s="54" t="n"/>
    </row>
    <row r="52" ht="33.75" customHeight="1" s="44">
      <c r="A52" s="54" t="inlineStr">
        <is>
          <t>저장소</t>
        </is>
      </c>
      <c r="B52" s="56" t="inlineStr">
        <is>
          <t>PostgreSQL user_memories (구조화 저장, 벡터 미사용)</t>
        </is>
      </c>
      <c r="C52" s="54" t="inlineStr">
        <is>
          <t>검색이 아니라 주입이 목적이라 벡터가 불필요</t>
        </is>
      </c>
    </row>
    <row r="53" ht="33.75" customHeight="1" s="44">
      <c r="A53" s="54" t="inlineStr">
        <is>
          <t>갱신 규칙</t>
        </is>
      </c>
      <c r="B53" s="54" t="inlineStr">
        <is>
          <t>오답 시 +1 / 정답 2회 연속 시 -1 / 0이면 취약 개념 해제</t>
        </is>
      </c>
      <c r="C53" s="54" t="inlineStr">
        <is>
          <t>무한정 쌓이지 않게 하는 장치</t>
        </is>
      </c>
    </row>
    <row r="54" ht="33.75" customHeight="1" s="44">
      <c r="A54" s="54" t="inlineStr">
        <is>
          <t>주입 방식</t>
        </is>
      </c>
      <c r="B54" s="54" t="inlineStr">
        <is>
          <t>시스템 프롬프트 직후 user_context 블록, 최대 300토큰</t>
        </is>
      </c>
      <c r="C54" s="54" t="inlineStr">
        <is>
          <t>초과 시 오답 횟수 상위 항목만 유지</t>
        </is>
      </c>
    </row>
    <row r="55" ht="33.75" customHeight="1" s="44">
      <c r="A55" s="54" t="inlineStr">
        <is>
          <t>보관 기간</t>
        </is>
      </c>
      <c r="B55" s="54" t="inlineStr">
        <is>
          <t>최종 로그인 후 12개월, 이후 자동 삭제</t>
        </is>
      </c>
      <c r="C55" s="56" t="inlineStr">
        <is>
          <t>NFR-PRIV-01</t>
        </is>
      </c>
    </row>
    <row r="56" ht="33.75" customHeight="1" s="44">
      <c r="A56" s="54" t="inlineStr">
        <is>
          <t>사용자 삭제</t>
        </is>
      </c>
      <c r="B56" s="54" t="inlineStr">
        <is>
          <t>마이페이지에서 항목별/전체 삭제, 즉시 물리 삭제</t>
        </is>
      </c>
      <c r="C56" s="56" t="inlineStr">
        <is>
          <t>FR-MEM-03</t>
        </is>
      </c>
    </row>
    <row r="57" ht="15.75" customHeight="1" s="44"/>
    <row r="58" ht="15.75" customHeight="1" s="44"/>
    <row r="59" ht="24" customHeight="1" s="44">
      <c r="A59" s="77" t="inlineStr">
        <is>
          <t>⑥ AI 실패·폴백 정책</t>
        </is>
      </c>
    </row>
    <row r="60" ht="30" customHeight="1" s="44">
      <c r="A60" s="80" t="inlineStr">
        <is>
          <t>채점자가 가장 유심히 보는 표입니다. LLM은 반드시 실패합니다.</t>
        </is>
      </c>
    </row>
    <row r="61" ht="15.75" customHeight="1" s="44">
      <c r="A61" s="48" t="inlineStr">
        <is>
          <t>실패 상황</t>
        </is>
      </c>
      <c r="B61" s="48" t="inlineStr">
        <is>
          <t>감지 방법</t>
        </is>
      </c>
      <c r="C61" s="48" t="inlineStr">
        <is>
          <t>시스템 동작</t>
        </is>
      </c>
      <c r="D61" s="48" t="inlineStr">
        <is>
          <t>사용자에게 보이는 메시지</t>
        </is>
      </c>
    </row>
    <row r="62" ht="33.75" customHeight="1" s="44">
      <c r="A62" s="56" t="inlineStr">
        <is>
          <t>LLM 타임아웃</t>
        </is>
      </c>
      <c r="B62" s="56" t="inlineStr">
        <is>
          <t>30초 응답 없음</t>
        </is>
      </c>
      <c r="C62" s="54" t="inlineStr">
        <is>
          <t>스트림 중단, 부분 응답 폐기, 로그 기록</t>
        </is>
      </c>
      <c r="D62" s="54" t="inlineStr">
        <is>
          <t>응답이 지연되고 있습니다. 다시 시도해 주세요 + 재시도 버튼</t>
        </is>
      </c>
    </row>
    <row r="63" ht="33.75" customHeight="1" s="44">
      <c r="A63" s="54" t="inlineStr">
        <is>
          <t>토큰 한도 초과</t>
        </is>
      </c>
      <c r="B63" s="54" t="inlineStr">
        <is>
          <t>요청 전 토큰 카운트</t>
        </is>
      </c>
      <c r="C63" s="54" t="inlineStr">
        <is>
          <t>메모리 요약 축소 → 청크 4→2 축소 → 그래도 초과 시 거부</t>
        </is>
      </c>
      <c r="D63" s="54" t="inlineStr">
        <is>
          <t>질문이 너무 깁니다. 나눠서 질문해 주세요</t>
        </is>
      </c>
    </row>
    <row r="64" ht="33.75" customHeight="1" s="44">
      <c r="A64" s="56" t="inlineStr">
        <is>
          <t>JSON 파싱 실패</t>
        </is>
      </c>
      <c r="B64" s="54" t="inlineStr">
        <is>
          <t>스키마 검증 실패</t>
        </is>
      </c>
      <c r="C64" s="54" t="inlineStr">
        <is>
          <t>동일 프롬프트 1회 재시도 후 중단</t>
        </is>
      </c>
      <c r="D64" s="54" t="inlineStr">
        <is>
          <t>퀴즈 생성에 실패했습니다</t>
        </is>
      </c>
    </row>
    <row r="65" ht="33.75" customHeight="1" s="44">
      <c r="A65" s="54" t="inlineStr">
        <is>
          <t>검색 결과 없음</t>
        </is>
      </c>
      <c r="B65" s="54" t="inlineStr">
        <is>
          <t>최고 유사도 &lt; 0.72</t>
        </is>
      </c>
      <c r="C65" s="54" t="inlineStr">
        <is>
          <t>답변 생성 중단</t>
        </is>
      </c>
      <c r="D65" s="54" t="inlineStr">
        <is>
          <t>업로드하신 자료에서 관련 내용을 찾지 못했습니다</t>
        </is>
      </c>
    </row>
    <row r="66" ht="33.75" customHeight="1" s="44">
      <c r="A66" s="56" t="inlineStr">
        <is>
          <t>OCR 인식 실패</t>
        </is>
      </c>
      <c r="B66" s="54" t="inlineStr">
        <is>
          <t>추출 문자 20자 미만</t>
        </is>
      </c>
      <c r="C66" s="54" t="inlineStr">
        <is>
          <t>저장하지 않고 재업로드 유도</t>
        </is>
      </c>
      <c r="D66" s="54" t="inlineStr">
        <is>
          <t>글씨를 인식하지 못했습니다. 더 밝은 곳에서 정면으로 촬영해 주세요</t>
        </is>
      </c>
    </row>
    <row r="67" ht="33.75" customHeight="1" s="44">
      <c r="A67" s="54" t="inlineStr">
        <is>
          <t>유해 입력</t>
        </is>
      </c>
      <c r="B67" s="54" t="inlineStr">
        <is>
          <t>입력 단계 모더레이션</t>
        </is>
      </c>
      <c r="C67" s="54" t="inlineStr">
        <is>
          <t>요청 차단 및 로그 기록</t>
        </is>
      </c>
      <c r="D67" s="54" t="inlineStr">
        <is>
          <t>해당 요청은 처리할 수 없습니다</t>
        </is>
      </c>
    </row>
    <row r="68" ht="33.75" customHeight="1" s="44">
      <c r="A68" s="54" t="inlineStr">
        <is>
          <t>요금 한도 초과</t>
        </is>
      </c>
      <c r="B68" s="54" t="inlineStr">
        <is>
          <t>일일 누적 비용 임계치</t>
        </is>
      </c>
      <c r="C68" s="54" t="inlineStr">
        <is>
          <t>신규 요청 차단, 관리자 알림</t>
        </is>
      </c>
      <c r="D68" s="54" t="inlineStr">
        <is>
          <t>오늘의 이용 한도에 도달했습니다</t>
        </is>
      </c>
    </row>
    <row r="69" ht="33.75" customHeight="1" s="44">
      <c r="A69" s="54" t="inlineStr">
        <is>
          <t>메일 발송 실패</t>
        </is>
      </c>
      <c r="B69" s="54" t="inlineStr">
        <is>
          <t>발송 API 응답 코드</t>
        </is>
      </c>
      <c r="C69" s="54" t="inlineStr">
        <is>
          <t>해당 사용자만 스킵, 다음 배치 재시도</t>
        </is>
      </c>
      <c r="D69" s="56" t="inlineStr">
        <is>
          <t>(사용자 노출 없음, 관리자 로그)</t>
        </is>
      </c>
    </row>
    <row r="70" ht="15.75" customHeight="1" s="44"/>
    <row r="71" ht="15.75" customHeight="1" s="44"/>
    <row r="72" ht="24" customHeight="1" s="44">
      <c r="A72" s="77" t="inlineStr">
        <is>
          <t>⑦ AI 품질 평가 방법</t>
        </is>
      </c>
    </row>
    <row r="73" ht="30" customHeight="1" s="44">
      <c r="A73" s="80" t="inlineStr">
        <is>
          <t>정답셋 20문항 만드는 데 두 시간이면 충분합니다. 이 표가 있으면 상위권입니다.</t>
        </is>
      </c>
    </row>
    <row r="74" ht="15.75" customHeight="1" s="44">
      <c r="A74" s="48" t="inlineStr">
        <is>
          <t>평가 항목</t>
        </is>
      </c>
      <c r="B74" s="48" t="inlineStr">
        <is>
          <t>측정 방법</t>
        </is>
      </c>
      <c r="C74" s="48" t="inlineStr">
        <is>
          <t>목표 수치</t>
        </is>
      </c>
      <c r="D74" s="48" t="inlineStr">
        <is>
          <t>측정 주기</t>
        </is>
      </c>
    </row>
    <row r="75" ht="33.75" customHeight="1" s="44">
      <c r="A75" s="54" t="inlineStr">
        <is>
          <t>답변 정확도</t>
        </is>
      </c>
      <c r="B75" s="54" t="inlineStr">
        <is>
          <t>정답셋 20문항을 팀원 2명이 교차 채점</t>
        </is>
      </c>
      <c r="C75" s="56" t="inlineStr">
        <is>
          <t>85% 이상</t>
        </is>
      </c>
      <c r="D75" s="54" t="inlineStr">
        <is>
          <t>주 1회</t>
        </is>
      </c>
    </row>
    <row r="76" ht="33.75" customHeight="1" s="44">
      <c r="A76" s="54" t="inlineStr">
        <is>
          <t>출처 정확도</t>
        </is>
      </c>
      <c r="B76" s="54" t="inlineStr">
        <is>
          <t>표시된 출처 페이지에 실제 근거가 있는 비율</t>
        </is>
      </c>
      <c r="C76" s="56" t="inlineStr">
        <is>
          <t>90% 이상</t>
        </is>
      </c>
      <c r="D76" s="54" t="inlineStr">
        <is>
          <t>주 1회</t>
        </is>
      </c>
    </row>
    <row r="77" ht="33.75" customHeight="1" s="44">
      <c r="A77" s="54" t="inlineStr">
        <is>
          <t>환각 발생률</t>
        </is>
      </c>
      <c r="B77" s="54" t="inlineStr">
        <is>
          <t>자료에 없는 내용을 단정한 답변 비율</t>
        </is>
      </c>
      <c r="C77" s="56" t="inlineStr">
        <is>
          <t>5% 이하</t>
        </is>
      </c>
      <c r="D77" s="54" t="inlineStr">
        <is>
          <t>주 1회</t>
        </is>
      </c>
    </row>
    <row r="78" ht="33.75" customHeight="1" s="44">
      <c r="A78" s="56" t="inlineStr">
        <is>
          <t>OCR 정확도</t>
        </is>
      </c>
      <c r="B78" s="54" t="inlineStr">
        <is>
          <t>필기 샘플 10장의 문자 단위 일치율</t>
        </is>
      </c>
      <c r="C78" s="56" t="inlineStr">
        <is>
          <t>80% 이상</t>
        </is>
      </c>
      <c r="D78" s="54" t="inlineStr">
        <is>
          <t>마일스톤별</t>
        </is>
      </c>
    </row>
    <row r="79" ht="33.75" customHeight="1" s="44">
      <c r="A79" s="54" t="inlineStr">
        <is>
          <t>사용자 만족도</t>
        </is>
      </c>
      <c r="B79" s="56" t="inlineStr">
        <is>
          <t>FR-FB-01 좋아요 비율</t>
        </is>
      </c>
      <c r="C79" s="56" t="inlineStr">
        <is>
          <t>75% 이상</t>
        </is>
      </c>
      <c r="D79" s="54" t="inlineStr">
        <is>
          <t>상시</t>
        </is>
      </c>
    </row>
    <row r="80" ht="15.75" customHeight="1" s="44"/>
    <row r="81" ht="15.75" customHeight="1" s="44"/>
    <row r="82" ht="24" customHeight="1" s="44">
      <c r="A82" s="83" t="inlineStr">
        <is>
          <t>⑧ 측정 이력</t>
        </is>
      </c>
    </row>
    <row r="83" ht="30" customHeight="1" s="44">
      <c r="A83" s="78" t="inlineStr">
        <is>
          <t>'무엇을 바꿨더니 몇 %가 올랐다' — 발표의 핵심 슬라이드가 되는 표입니다.</t>
        </is>
      </c>
    </row>
    <row r="84" ht="15.75" customHeight="1" s="44">
      <c r="A84" s="48" t="inlineStr">
        <is>
          <t>회차</t>
        </is>
      </c>
      <c r="B84" s="48" t="inlineStr">
        <is>
          <t>날짜</t>
        </is>
      </c>
      <c r="C84" s="48" t="inlineStr">
        <is>
          <t>측정 결과</t>
        </is>
      </c>
      <c r="D84" s="48" t="inlineStr">
        <is>
          <t>주요 개선 조치</t>
        </is>
      </c>
    </row>
    <row r="85" ht="33.75" customHeight="1" s="44">
      <c r="A85" s="56" t="inlineStr">
        <is>
          <t>1차</t>
        </is>
      </c>
      <c r="B85" s="56" t="inlineStr">
        <is>
          <t>2026-03-02</t>
        </is>
      </c>
      <c r="C85" s="54" t="inlineStr">
        <is>
          <t>답변 정확도 60%</t>
        </is>
      </c>
      <c r="D85" s="54" t="inlineStr">
        <is>
          <t>청크 크기 400 → 800자 조정</t>
        </is>
      </c>
    </row>
    <row r="86" ht="33.75" customHeight="1" s="44">
      <c r="A86" s="56" t="inlineStr">
        <is>
          <t>2차</t>
        </is>
      </c>
      <c r="B86" s="56" t="inlineStr">
        <is>
          <t>2026-03-08</t>
        </is>
      </c>
      <c r="C86" s="54" t="inlineStr">
        <is>
          <t>답변 정확도 75%</t>
        </is>
      </c>
      <c r="D86" s="54" t="inlineStr">
        <is>
          <t>시스템 프롬프트에 '청크 범위 밖 답변 금지' 제약 추가</t>
        </is>
      </c>
    </row>
    <row r="87" ht="33.75" customHeight="1" s="44">
      <c r="A87" s="56" t="inlineStr">
        <is>
          <t>3차</t>
        </is>
      </c>
      <c r="B87" s="56" t="inlineStr">
        <is>
          <t>2026-03-13</t>
        </is>
      </c>
      <c r="C87" s="54" t="inlineStr">
        <is>
          <t>답변 정확도 85%</t>
        </is>
      </c>
      <c r="D87" s="56" t="inlineStr">
        <is>
          <t>top-k 5 → 4, 유사도 임계값 0.65 → 0.72</t>
        </is>
      </c>
    </row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18">
    <mergeCell ref="A2:F2"/>
    <mergeCell ref="A23:D23"/>
    <mergeCell ref="A13:C13"/>
    <mergeCell ref="A47:C47"/>
    <mergeCell ref="A83:D83"/>
    <mergeCell ref="A1:F1"/>
    <mergeCell ref="A5:F5"/>
    <mergeCell ref="A14:C14"/>
    <mergeCell ref="A38:D38"/>
    <mergeCell ref="A39:D39"/>
    <mergeCell ref="A72:D72"/>
    <mergeCell ref="A59:D59"/>
    <mergeCell ref="A82:D82"/>
    <mergeCell ref="A24:D24"/>
    <mergeCell ref="A4:F4"/>
    <mergeCell ref="A73:D73"/>
    <mergeCell ref="A48:C48"/>
    <mergeCell ref="A60:D6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2026-09-10T04:08:49Z</dcterms:created>
  <dcterms:modified xmlns:dcterms="http://purl.org/dc/terms/" xmlns:xsi="http://www.w3.org/2001/XMLSchema-instance" xsi:type="dcterms:W3CDTF">2026-10-12T07:50:52Z</dcterms:modified>
  <cp:revision>0</cp:revision>
</cp:coreProperties>
</file>